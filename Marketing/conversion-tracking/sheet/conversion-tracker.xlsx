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Formats" sheetId="2" state="visible" r:id="rId2"/>
    <sheet xmlns:r="http://schemas.openxmlformats.org/officeDocument/2006/relationships" name="Accounts" sheetId="3" state="visible" r:id="rId3"/>
    <sheet xmlns:r="http://schemas.openxmlformats.org/officeDocument/2006/relationships" name="Videos" sheetId="4" state="visible" r:id="rId4"/>
    <sheet xmlns:r="http://schemas.openxmlformats.org/officeDocument/2006/relationships" name="Daily" sheetId="5" state="visible" r:id="rId5"/>
    <sheet xmlns:r="http://schemas.openxmlformats.org/officeDocument/2006/relationships" name="Baseline" sheetId="6" state="visible" r:id="rId6"/>
    <sheet xmlns:r="http://schemas.openxmlformats.org/officeDocument/2006/relationships" name="Searc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color rgb="00C00000"/>
    </font>
  </fonts>
  <fills count="4">
    <fill>
      <patternFill/>
    </fill>
    <fill>
      <patternFill patternType="gray125"/>
    </fill>
    <fill>
      <patternFill patternType="solid">
        <fgColor rgb="001F5C4A"/>
      </patternFill>
    </fill>
    <fill>
      <patternFill patternType="solid">
        <fgColor rgb="00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64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0" fontId="0" fillId="3" borderId="0" pivotButton="0" quotePrefix="0" xfId="0"/>
    <xf numFmtId="165" fontId="0" fillId="3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Salah Alarm per-video conversion tracker</t>
        </is>
      </c>
    </row>
    <row r="2">
      <c r="A2" t="inlineStr"/>
    </row>
    <row r="3">
      <c r="A3" t="inlineStr">
        <is>
          <t>Yellow cells are inputs. Everything else is a formula.</t>
        </is>
      </c>
    </row>
    <row r="4">
      <c r="A4" t="inlineStr">
        <is>
          <t>1. Videos: one row per post. video_id = &lt;account&gt;-&lt;MMDD&gt;-&lt;n&gt;, e.g. tt03-1024-1. Paste 48h views from TikTok/IG/Zernio analytics.</t>
        </is>
      </c>
    </row>
    <row r="5">
      <c r="A5" t="inlineStr">
        <is>
          <t>2. Daily: one row per account per day. bio_clicks + video_link_clicks from PostHog (event link_clicked, breakdown by account / video).</t>
        </is>
      </c>
    </row>
    <row r="6">
      <c r="A6" t="inlineStr">
        <is>
          <t xml:space="preserve">   page_views, installs, proceeds from App Store Connect &gt; App Analytics &gt; Acquisition &gt; Campaigns (filter by ct starting with the account id).</t>
        </is>
      </c>
    </row>
    <row r="7">
      <c r="A7" t="inlineStr">
        <is>
          <t xml:space="preserve">   trials / purchases from RevenueCat (new build) or App Store Connect Sales (old build).</t>
        </is>
      </c>
    </row>
    <row r="8">
      <c r="A8" t="inlineStr">
        <is>
          <t>3. Videos estimates an account-day's installs/trials onto each video in proportion to its views that day.</t>
        </is>
      </c>
    </row>
    <row r="9">
      <c r="A9" t="inlineStr">
        <is>
          <t xml:space="preserve">   Videos with their own v/ link (IG comment-to-DM, stories) also show exact direct clicks.</t>
        </is>
      </c>
    </row>
    <row r="10">
      <c r="A10" t="inlineStr">
        <is>
          <t>4. Formats tab is the scoreboard. Decide on installs per 10k views and trials per 10k views, not raw views.</t>
        </is>
      </c>
    </row>
    <row r="11">
      <c r="A11" t="inlineStr">
        <is>
          <t>Early signals (available within hours; installs lag ~1 day): profile_view_rate = profile visits / views (main score),</t>
        </is>
      </c>
    </row>
    <row r="12">
      <c r="A12" t="inlineStr">
        <is>
          <t xml:space="preserve">   shares_saves_per_1k_views = (shares + saves) / views x 1000 (second score). Likes are ignored. After ~4 days, check on Formats</t>
        </is>
      </c>
    </row>
    <row r="13">
      <c r="A13" t="inlineStr">
        <is>
          <t xml:space="preserve">   whether these rank formats the same way installs do before trusting them alone.</t>
        </is>
      </c>
    </row>
    <row r="14">
      <c r="A14" t="inlineStr">
        <is>
          <t>Within an account-day, installs are split across videos by profile visits (falls back to views if none logged).</t>
        </is>
      </c>
    </row>
    <row r="15">
      <c r="A15" t="inlineStr">
        <is>
          <t>Search tab: most TikTok installs come via App Store Search, not the bio link. Log App Store Search installs per territory</t>
        </is>
      </c>
    </row>
    <row r="16">
      <c r="A16" t="inlineStr">
        <is>
          <t xml:space="preserve">   (App Analytics &gt; Sources = App Store Search, by territory) and the 14-day pre-test daily average in Baseline. Uplift / views</t>
        </is>
      </c>
    </row>
    <row r="17">
      <c r="A17" t="inlineStr">
        <is>
          <t xml:space="preserve">   gives installs per 1k views that the bio links miss. Keep accounts in the format test on the same language/markets.</t>
        </is>
      </c>
    </row>
    <row r="18">
      <c r="A18" t="inlineStr">
        <is>
          <t>Rule of thumb: don't call a winner below ~30 installs per format; Apple hides very small campaign 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4" customWidth="1" min="2" max="2"/>
    <col width="8" customWidth="1" min="3" max="3"/>
    <col width="11" customWidth="1" min="4" max="4"/>
    <col width="10" customWidth="1" min="5" max="5"/>
    <col width="11" customWidth="1" min="6" max="6"/>
    <col width="10" customWidth="1" min="7" max="7"/>
    <col width="12" customWidth="1" min="8" max="8"/>
    <col width="13" customWidth="1" min="9" max="9"/>
    <col width="13" customWidth="1" min="10" max="10"/>
    <col width="12" customWidth="1" min="11" max="11"/>
    <col width="12" customWidth="1" min="12" max="12"/>
    <col width="14" customWidth="1" min="13" max="13"/>
  </cols>
  <sheetData>
    <row r="1" ht="32" customHeight="1">
      <c r="A1" s="2" t="inlineStr">
        <is>
          <t>format</t>
        </is>
      </c>
      <c r="B1" s="2" t="inlineStr">
        <is>
          <t>description</t>
        </is>
      </c>
      <c r="C1" s="2" t="inlineStr">
        <is>
          <t>videos</t>
        </is>
      </c>
      <c r="D1" s="2" t="inlineStr">
        <is>
          <t>views</t>
        </is>
      </c>
      <c r="E1" s="2" t="inlineStr">
        <is>
          <t>est_clicks</t>
        </is>
      </c>
      <c r="F1" s="2" t="inlineStr">
        <is>
          <t>est_installs</t>
        </is>
      </c>
      <c r="G1" s="2" t="inlineStr">
        <is>
          <t>est_trials</t>
        </is>
      </c>
      <c r="H1" s="2" t="inlineStr">
        <is>
          <t>clicks_per_1k_views</t>
        </is>
      </c>
      <c r="I1" s="2" t="inlineStr">
        <is>
          <t>installs_per_10k_views</t>
        </is>
      </c>
      <c r="J1" s="2" t="inlineStr">
        <is>
          <t>trials_per_10k_views</t>
        </is>
      </c>
      <c r="K1" s="2" t="inlineStr">
        <is>
          <t>views_per_video</t>
        </is>
      </c>
      <c r="L1" s="2" t="inlineStr">
        <is>
          <t>profile_view_rate</t>
        </is>
      </c>
      <c r="M1" s="2" t="inlineStr">
        <is>
          <t>shares_saves_per_1k_views</t>
        </is>
      </c>
    </row>
    <row r="2">
      <c r="A2" t="inlineStr">
        <is>
          <t>whatif</t>
        </is>
      </c>
      <c r="B2" t="inlineStr">
        <is>
          <t>What-if story videos</t>
        </is>
      </c>
      <c r="C2">
        <f>COUNTIF(Videos!$C:$C,A2)</f>
        <v/>
      </c>
      <c r="D2">
        <f>SUMIF(Videos!$C:$C,A2,Videos!$F:$F)</f>
        <v/>
      </c>
      <c r="E2" s="3">
        <f>SUMIF(Videos!$C:$C,A2,Videos!$L:$L)</f>
        <v/>
      </c>
      <c r="F2" s="3">
        <f>SUMIF(Videos!$C:$C,A2,Videos!$M:$M)</f>
        <v/>
      </c>
      <c r="G2" s="3">
        <f>SUMIF(Videos!$C:$C,A2,Videos!$N:$N)</f>
        <v/>
      </c>
      <c r="H2" s="4">
        <f>IF(D2=0,"",E2/D2*1000)</f>
        <v/>
      </c>
      <c r="I2" s="4">
        <f>IF(D2=0,"",F2/D2*10000)</f>
        <v/>
      </c>
      <c r="J2" s="4">
        <f>IF(D2=0,"",G2/D2*10000)</f>
        <v/>
      </c>
      <c r="K2" s="5">
        <f>IF(C2=0,"",D2/C2)</f>
        <v/>
      </c>
      <c r="L2" s="6">
        <f>IF(D2=0,"",SUMIF(Videos!$C:$C,A2,Videos!$I:$I)/D2)</f>
        <v/>
      </c>
      <c r="M2" s="3">
        <f>IF(D2=0,"",(SUMIF(Videos!$C:$C,A2,Videos!$H:$H)+SUMIF(Videos!$C:$C,A2,Videos!$Q:$Q))/D2*1000)</f>
        <v/>
      </c>
    </row>
    <row r="3">
      <c r="A3" t="inlineStr">
        <is>
          <t>anim</t>
        </is>
      </c>
      <c r="B3" t="inlineStr">
        <is>
          <t>Animated motion-graphic Muslim-niche topics</t>
        </is>
      </c>
      <c r="C3">
        <f>COUNTIF(Videos!$C:$C,A3)</f>
        <v/>
      </c>
      <c r="D3">
        <f>SUMIF(Videos!$C:$C,A3,Videos!$F:$F)</f>
        <v/>
      </c>
      <c r="E3" s="3">
        <f>SUMIF(Videos!$C:$C,A3,Videos!$L:$L)</f>
        <v/>
      </c>
      <c r="F3" s="3">
        <f>SUMIF(Videos!$C:$C,A3,Videos!$M:$M)</f>
        <v/>
      </c>
      <c r="G3" s="3">
        <f>SUMIF(Videos!$C:$C,A3,Videos!$N:$N)</f>
        <v/>
      </c>
      <c r="H3" s="4">
        <f>IF(D3=0,"",E3/D3*1000)</f>
        <v/>
      </c>
      <c r="I3" s="4">
        <f>IF(D3=0,"",F3/D3*10000)</f>
        <v/>
      </c>
      <c r="J3" s="4">
        <f>IF(D3=0,"",G3/D3*10000)</f>
        <v/>
      </c>
      <c r="K3" s="5">
        <f>IF(C3=0,"",D3/C3)</f>
        <v/>
      </c>
      <c r="L3" s="6">
        <f>IF(D3=0,"",SUMIF(Videos!$C:$C,A3,Videos!$I:$I)/D3)</f>
        <v/>
      </c>
      <c r="M3" s="3">
        <f>IF(D3=0,"",(SUMIF(Videos!$C:$C,A3,Videos!$H:$H)+SUMIF(Videos!$C:$C,A3,Videos!$Q:$Q))/D3*1000)</f>
        <v/>
      </c>
    </row>
    <row r="4">
      <c r="A4" t="inlineStr">
        <is>
          <t>alarm</t>
        </is>
      </c>
      <c r="B4" t="inlineStr">
        <is>
          <t>Alarm / prayer-mat demo (product shown)</t>
        </is>
      </c>
      <c r="C4">
        <f>COUNTIF(Videos!$C:$C,A4)</f>
        <v/>
      </c>
      <c r="D4">
        <f>SUMIF(Videos!$C:$C,A4,Videos!$F:$F)</f>
        <v/>
      </c>
      <c r="E4" s="3">
        <f>SUMIF(Videos!$C:$C,A4,Videos!$L:$L)</f>
        <v/>
      </c>
      <c r="F4" s="3">
        <f>SUMIF(Videos!$C:$C,A4,Videos!$M:$M)</f>
        <v/>
      </c>
      <c r="G4" s="3">
        <f>SUMIF(Videos!$C:$C,A4,Videos!$N:$N)</f>
        <v/>
      </c>
      <c r="H4" s="4">
        <f>IF(D4=0,"",E4/D4*1000)</f>
        <v/>
      </c>
      <c r="I4" s="4">
        <f>IF(D4=0,"",F4/D4*10000)</f>
        <v/>
      </c>
      <c r="J4" s="4">
        <f>IF(D4=0,"",G4/D4*10000)</f>
        <v/>
      </c>
      <c r="K4" s="5">
        <f>IF(C4=0,"",D4/C4)</f>
        <v/>
      </c>
      <c r="L4" s="6">
        <f>IF(D4=0,"",SUMIF(Videos!$C:$C,A4,Videos!$I:$I)/D4)</f>
        <v/>
      </c>
      <c r="M4" s="3">
        <f>IF(D4=0,"",(SUMIF(Videos!$C:$C,A4,Videos!$H:$H)+SUMIF(Videos!$C:$C,A4,Videos!$Q:$Q))/D4*1000)</f>
        <v/>
      </c>
    </row>
    <row r="5">
      <c r="A5" t="inlineStr">
        <is>
          <t>pov</t>
        </is>
      </c>
      <c r="B5" t="inlineStr">
        <is>
          <t>POV / relatable Fajr struggle</t>
        </is>
      </c>
      <c r="C5">
        <f>COUNTIF(Videos!$C:$C,A5)</f>
        <v/>
      </c>
      <c r="D5">
        <f>SUMIF(Videos!$C:$C,A5,Videos!$F:$F)</f>
        <v/>
      </c>
      <c r="E5" s="3">
        <f>SUMIF(Videos!$C:$C,A5,Videos!$L:$L)</f>
        <v/>
      </c>
      <c r="F5" s="3">
        <f>SUMIF(Videos!$C:$C,A5,Videos!$M:$M)</f>
        <v/>
      </c>
      <c r="G5" s="3">
        <f>SUMIF(Videos!$C:$C,A5,Videos!$N:$N)</f>
        <v/>
      </c>
      <c r="H5" s="4">
        <f>IF(D5=0,"",E5/D5*1000)</f>
        <v/>
      </c>
      <c r="I5" s="4">
        <f>IF(D5=0,"",F5/D5*10000)</f>
        <v/>
      </c>
      <c r="J5" s="4">
        <f>IF(D5=0,"",G5/D5*10000)</f>
        <v/>
      </c>
      <c r="K5" s="5">
        <f>IF(C5=0,"",D5/C5)</f>
        <v/>
      </c>
      <c r="L5" s="6">
        <f>IF(D5=0,"",SUMIF(Videos!$C:$C,A5,Videos!$I:$I)/D5)</f>
        <v/>
      </c>
      <c r="M5" s="3">
        <f>IF(D5=0,"",(SUMIF(Videos!$C:$C,A5,Videos!$H:$H)+SUMIF(Videos!$C:$C,A5,Videos!$Q:$Q))/D5*1000)</f>
        <v/>
      </c>
    </row>
    <row r="6">
      <c r="A6" t="inlineStr">
        <is>
          <t>ramadan</t>
        </is>
      </c>
      <c r="B6" t="inlineStr">
        <is>
          <t>Ramadan challenge teasers</t>
        </is>
      </c>
      <c r="C6">
        <f>COUNTIF(Videos!$C:$C,A6)</f>
        <v/>
      </c>
      <c r="D6">
        <f>SUMIF(Videos!$C:$C,A6,Videos!$F:$F)</f>
        <v/>
      </c>
      <c r="E6" s="3">
        <f>SUMIF(Videos!$C:$C,A6,Videos!$L:$L)</f>
        <v/>
      </c>
      <c r="F6" s="3">
        <f>SUMIF(Videos!$C:$C,A6,Videos!$M:$M)</f>
        <v/>
      </c>
      <c r="G6" s="3">
        <f>SUMIF(Videos!$C:$C,A6,Videos!$N:$N)</f>
        <v/>
      </c>
      <c r="H6" s="4">
        <f>IF(D6=0,"",E6/D6*1000)</f>
        <v/>
      </c>
      <c r="I6" s="4">
        <f>IF(D6=0,"",F6/D6*10000)</f>
        <v/>
      </c>
      <c r="J6" s="4">
        <f>IF(D6=0,"",G6/D6*10000)</f>
        <v/>
      </c>
      <c r="K6" s="5">
        <f>IF(C6=0,"",D6/C6)</f>
        <v/>
      </c>
      <c r="L6" s="6">
        <f>IF(D6=0,"",SUMIF(Videos!$C:$C,A6,Videos!$I:$I)/D6)</f>
        <v/>
      </c>
      <c r="M6" s="3">
        <f>IF(D6=0,"",(SUMIF(Videos!$C:$C,A6,Videos!$H:$H)+SUMIF(Videos!$C:$C,A6,Videos!$Q:$Q))/D6*1000)</f>
        <v/>
      </c>
    </row>
    <row r="7">
      <c r="A7" t="inlineStr">
        <is>
          <t>mixed</t>
        </is>
      </c>
      <c r="B7" t="inlineStr">
        <is>
          <t>Brand page, mixed formats</t>
        </is>
      </c>
      <c r="C7">
        <f>COUNTIF(Videos!$C:$C,A7)</f>
        <v/>
      </c>
      <c r="D7">
        <f>SUMIF(Videos!$C:$C,A7,Videos!$F:$F)</f>
        <v/>
      </c>
      <c r="E7" s="3">
        <f>SUMIF(Videos!$C:$C,A7,Videos!$L:$L)</f>
        <v/>
      </c>
      <c r="F7" s="3">
        <f>SUMIF(Videos!$C:$C,A7,Videos!$M:$M)</f>
        <v/>
      </c>
      <c r="G7" s="3">
        <f>SUMIF(Videos!$C:$C,A7,Videos!$N:$N)</f>
        <v/>
      </c>
      <c r="H7" s="4">
        <f>IF(D7=0,"",E7/D7*1000)</f>
        <v/>
      </c>
      <c r="I7" s="4">
        <f>IF(D7=0,"",F7/D7*10000)</f>
        <v/>
      </c>
      <c r="J7" s="4">
        <f>IF(D7=0,"",G7/D7*10000)</f>
        <v/>
      </c>
      <c r="K7" s="5">
        <f>IF(C7=0,"",D7/C7)</f>
        <v/>
      </c>
      <c r="L7" s="6">
        <f>IF(D7=0,"",SUMIF(Videos!$C:$C,A7,Videos!$I:$I)/D7)</f>
        <v/>
      </c>
      <c r="M7" s="3">
        <f>IF(D7=0,"",(SUMIF(Videos!$C:$C,A7,Videos!$H:$H)+SUMIF(Videos!$C:$C,A7,Videos!$Q:$Q))/D7*1000)</f>
        <v/>
      </c>
    </row>
    <row r="8">
      <c r="A8" t="inlineStr">
        <is>
          <t>seo</t>
        </is>
      </c>
      <c r="B8" t="inlineStr">
        <is>
          <t>SEO blog articles on salahalarm.com (one account per language)</t>
        </is>
      </c>
      <c r="C8">
        <f>COUNTIF(Videos!$C:$C,A8)</f>
        <v/>
      </c>
      <c r="D8">
        <f>SUMIF(Videos!$C:$C,A8,Videos!$F:$F)</f>
        <v/>
      </c>
      <c r="E8" s="3">
        <f>SUMIF(Videos!$C:$C,A8,Videos!$L:$L)</f>
        <v/>
      </c>
      <c r="F8" s="3">
        <f>SUMIF(Videos!$C:$C,A8,Videos!$M:$M)</f>
        <v/>
      </c>
      <c r="G8" s="3">
        <f>SUMIF(Videos!$C:$C,A8,Videos!$N:$N)</f>
        <v/>
      </c>
      <c r="H8" s="4">
        <f>IF(D8=0,"",E8/D8*1000)</f>
        <v/>
      </c>
      <c r="I8" s="4">
        <f>IF(D8=0,"",F8/D8*10000)</f>
        <v/>
      </c>
      <c r="J8" s="4">
        <f>IF(D8=0,"",G8/D8*10000)</f>
        <v/>
      </c>
      <c r="K8" s="5">
        <f>IF(C8=0,"",D8/C8)</f>
        <v/>
      </c>
      <c r="L8" s="6">
        <f>IF(D8=0,"",SUMIF(Videos!$C:$C,A8,Videos!$I:$I)/D8)</f>
        <v/>
      </c>
      <c r="M8" s="3">
        <f>IF(D8=0,"",(SUMIF(Videos!$C:$C,A8,Videos!$H:$H)+SUMIF(Videos!$C:$C,A8,Videos!$Q:$Q))/D8*1000)</f>
        <v/>
      </c>
    </row>
  </sheetData>
  <conditionalFormatting sqref="I2:I8">
    <cfRule type="colorScale" priority="1">
      <colorScale>
        <cfvo type="min"/>
        <cfvo type="max"/>
        <color rgb="00F8D7DA"/>
        <color rgb="00C8E6C9"/>
      </colorScale>
    </cfRule>
  </conditionalFormatting>
  <conditionalFormatting sqref="J2:J8">
    <cfRule type="colorScale" priority="2">
      <colorScale>
        <cfvo type="min"/>
        <cfvo type="max"/>
        <color rgb="00F8D7DA"/>
        <color rgb="00C8E6C9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4" customWidth="1" min="4" max="4"/>
    <col width="36" customWidth="1" min="5" max="5"/>
  </cols>
  <sheetData>
    <row r="1" ht="32" customHeight="1">
      <c r="A1" s="2" t="inlineStr">
        <is>
          <t>account</t>
        </is>
      </c>
      <c r="B1" s="2" t="inlineStr">
        <is>
          <t>platform</t>
        </is>
      </c>
      <c r="C1" s="2" t="inlineStr">
        <is>
          <t>handle</t>
        </is>
      </c>
      <c r="D1" s="2" t="inlineStr">
        <is>
          <t>test_format</t>
        </is>
      </c>
      <c r="E1" s="2" t="inlineStr">
        <is>
          <t>bio_link</t>
        </is>
      </c>
    </row>
    <row r="2">
      <c r="A2" t="inlineStr">
        <is>
          <t>ig1</t>
        </is>
      </c>
      <c r="B2" t="inlineStr">
        <is>
          <t>instagram</t>
        </is>
      </c>
      <c r="C2" t="inlineStr">
        <is>
          <t>@salahalarm</t>
        </is>
      </c>
      <c r="D2" t="inlineStr">
        <is>
          <t>mixed</t>
        </is>
      </c>
      <c r="E2" t="inlineStr">
        <is>
          <t>https://salahalarm.com/go/ig1</t>
        </is>
      </c>
    </row>
    <row r="3">
      <c r="A3" t="inlineStr">
        <is>
          <t>ig2</t>
        </is>
      </c>
      <c r="B3" t="inlineStr">
        <is>
          <t>instagram</t>
        </is>
      </c>
      <c r="C3" t="inlineStr">
        <is>
          <t>@REPLACE_ME</t>
        </is>
      </c>
      <c r="D3" t="inlineStr">
        <is>
          <t>anim</t>
        </is>
      </c>
      <c r="E3" t="inlineStr">
        <is>
          <t>https://salahalarm.com/go/ig2</t>
        </is>
      </c>
    </row>
    <row r="4">
      <c r="A4" t="inlineStr">
        <is>
          <t>tt01</t>
        </is>
      </c>
      <c r="B4" t="inlineStr">
        <is>
          <t>tiktok</t>
        </is>
      </c>
      <c r="C4" t="inlineStr">
        <is>
          <t>@REPLACE_ME</t>
        </is>
      </c>
      <c r="D4" t="inlineStr">
        <is>
          <t>whatif</t>
        </is>
      </c>
      <c r="E4" t="inlineStr">
        <is>
          <t>https://salahalarm.com/go/tt01</t>
        </is>
      </c>
    </row>
    <row r="5">
      <c r="A5" t="inlineStr">
        <is>
          <t>tt02</t>
        </is>
      </c>
      <c r="B5" t="inlineStr">
        <is>
          <t>tiktok</t>
        </is>
      </c>
      <c r="C5" t="inlineStr">
        <is>
          <t>@REPLACE_ME</t>
        </is>
      </c>
      <c r="D5" t="inlineStr">
        <is>
          <t>whatif</t>
        </is>
      </c>
      <c r="E5" t="inlineStr">
        <is>
          <t>https://salahalarm.com/go/tt02</t>
        </is>
      </c>
    </row>
    <row r="6">
      <c r="A6" t="inlineStr">
        <is>
          <t>tt03</t>
        </is>
      </c>
      <c r="B6" t="inlineStr">
        <is>
          <t>tiktok</t>
        </is>
      </c>
      <c r="C6" t="inlineStr">
        <is>
          <t>@REPLACE_ME</t>
        </is>
      </c>
      <c r="D6" t="inlineStr">
        <is>
          <t>anim</t>
        </is>
      </c>
      <c r="E6" t="inlineStr">
        <is>
          <t>https://salahalarm.com/go/tt03</t>
        </is>
      </c>
    </row>
    <row r="7">
      <c r="A7" t="inlineStr">
        <is>
          <t>tt04</t>
        </is>
      </c>
      <c r="B7" t="inlineStr">
        <is>
          <t>tiktok</t>
        </is>
      </c>
      <c r="C7" t="inlineStr">
        <is>
          <t>@REPLACE_ME</t>
        </is>
      </c>
      <c r="D7" t="inlineStr">
        <is>
          <t>anim</t>
        </is>
      </c>
      <c r="E7" t="inlineStr">
        <is>
          <t>https://salahalarm.com/go/tt04</t>
        </is>
      </c>
    </row>
    <row r="8">
      <c r="A8" t="inlineStr">
        <is>
          <t>tt05</t>
        </is>
      </c>
      <c r="B8" t="inlineStr">
        <is>
          <t>tiktok</t>
        </is>
      </c>
      <c r="C8" t="inlineStr">
        <is>
          <t>@REPLACE_ME</t>
        </is>
      </c>
      <c r="D8" t="inlineStr">
        <is>
          <t>alarm</t>
        </is>
      </c>
      <c r="E8" t="inlineStr">
        <is>
          <t>https://salahalarm.com/go/tt05</t>
        </is>
      </c>
    </row>
    <row r="9">
      <c r="A9" t="inlineStr">
        <is>
          <t>tt06</t>
        </is>
      </c>
      <c r="B9" t="inlineStr">
        <is>
          <t>tiktok</t>
        </is>
      </c>
      <c r="C9" t="inlineStr">
        <is>
          <t>@REPLACE_ME</t>
        </is>
      </c>
      <c r="D9" t="inlineStr">
        <is>
          <t>alarm</t>
        </is>
      </c>
      <c r="E9" t="inlineStr">
        <is>
          <t>https://salahalarm.com/go/tt06</t>
        </is>
      </c>
    </row>
    <row r="10">
      <c r="A10" t="inlineStr">
        <is>
          <t>tt07</t>
        </is>
      </c>
      <c r="B10" t="inlineStr">
        <is>
          <t>tiktok</t>
        </is>
      </c>
      <c r="C10" t="inlineStr">
        <is>
          <t>@REPLACE_ME</t>
        </is>
      </c>
      <c r="D10" t="inlineStr">
        <is>
          <t>pov</t>
        </is>
      </c>
      <c r="E10" t="inlineStr">
        <is>
          <t>https://salahalarm.com/go/tt07</t>
        </is>
      </c>
    </row>
    <row r="11">
      <c r="A11" t="inlineStr">
        <is>
          <t>tt08</t>
        </is>
      </c>
      <c r="B11" t="inlineStr">
        <is>
          <t>tiktok</t>
        </is>
      </c>
      <c r="C11" t="inlineStr">
        <is>
          <t>@REPLACE_ME</t>
        </is>
      </c>
      <c r="D11" t="inlineStr">
        <is>
          <t>pov</t>
        </is>
      </c>
      <c r="E11" t="inlineStr">
        <is>
          <t>https://salahalarm.com/go/tt08</t>
        </is>
      </c>
    </row>
    <row r="12">
      <c r="A12" t="inlineStr">
        <is>
          <t>tt09</t>
        </is>
      </c>
      <c r="B12" t="inlineStr">
        <is>
          <t>tiktok</t>
        </is>
      </c>
      <c r="C12" t="inlineStr">
        <is>
          <t>@REPLACE_ME</t>
        </is>
      </c>
      <c r="D12" t="inlineStr">
        <is>
          <t>ramadan</t>
        </is>
      </c>
      <c r="E12" t="inlineStr">
        <is>
          <t>https://salahalarm.com/go/tt09</t>
        </is>
      </c>
    </row>
    <row r="13">
      <c r="A13" t="inlineStr">
        <is>
          <t>tt10</t>
        </is>
      </c>
      <c r="B13" t="inlineStr">
        <is>
          <t>tiktok</t>
        </is>
      </c>
      <c r="C13" t="inlineStr">
        <is>
          <t>@REPLACE_ME</t>
        </is>
      </c>
      <c r="D13" t="inlineStr">
        <is>
          <t>ramadan</t>
        </is>
      </c>
      <c r="E13" t="inlineStr">
        <is>
          <t>https://salahalarm.com/go/tt10</t>
        </is>
      </c>
    </row>
    <row r="14">
      <c r="A14" t="inlineStr">
        <is>
          <t>seo-en</t>
        </is>
      </c>
      <c r="B14" t="inlineStr">
        <is>
          <t>web</t>
        </is>
      </c>
      <c r="C14" t="inlineStr">
        <is>
          <t>salahalarm.com/blog/en/</t>
        </is>
      </c>
      <c r="D14" t="inlineStr">
        <is>
          <t>seo</t>
        </is>
      </c>
      <c r="E14" t="inlineStr">
        <is>
          <t>https://salahalarm.com/go/seo-en</t>
        </is>
      </c>
    </row>
    <row r="15">
      <c r="A15" t="inlineStr">
        <is>
          <t>seo-ar</t>
        </is>
      </c>
      <c r="B15" t="inlineStr">
        <is>
          <t>web</t>
        </is>
      </c>
      <c r="C15" t="inlineStr">
        <is>
          <t>salahalarm.com/blog/ar/</t>
        </is>
      </c>
      <c r="D15" t="inlineStr">
        <is>
          <t>seo</t>
        </is>
      </c>
      <c r="E15" t="inlineStr">
        <is>
          <t>https://salahalarm.com/go/seo-ar</t>
        </is>
      </c>
    </row>
    <row r="16">
      <c r="A16" t="inlineStr">
        <is>
          <t>seo-tr</t>
        </is>
      </c>
      <c r="B16" t="inlineStr">
        <is>
          <t>web</t>
        </is>
      </c>
      <c r="C16" t="inlineStr">
        <is>
          <t>salahalarm.com/blog/tr/</t>
        </is>
      </c>
      <c r="D16" t="inlineStr">
        <is>
          <t>seo</t>
        </is>
      </c>
      <c r="E16" t="inlineStr">
        <is>
          <t>https://salahalarm.com/go/seo-tr</t>
        </is>
      </c>
    </row>
    <row r="17">
      <c r="A17" t="inlineStr">
        <is>
          <t>seo-id</t>
        </is>
      </c>
      <c r="B17" t="inlineStr">
        <is>
          <t>web</t>
        </is>
      </c>
      <c r="C17" t="inlineStr">
        <is>
          <t>salahalarm.com/blog/id/</t>
        </is>
      </c>
      <c r="D17" t="inlineStr">
        <is>
          <t>seo</t>
        </is>
      </c>
      <c r="E17" t="inlineStr">
        <is>
          <t>https://salahalarm.com/go/seo-id</t>
        </is>
      </c>
    </row>
    <row r="18">
      <c r="A18" t="inlineStr">
        <is>
          <t>seo-ur</t>
        </is>
      </c>
      <c r="B18" t="inlineStr">
        <is>
          <t>web</t>
        </is>
      </c>
      <c r="C18" t="inlineStr">
        <is>
          <t>salahalarm.com/blog/ur/</t>
        </is>
      </c>
      <c r="D18" t="inlineStr">
        <is>
          <t>seo</t>
        </is>
      </c>
      <c r="E18" t="inlineStr">
        <is>
          <t>https://salahalarm.com/go/seo-ur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26" customWidth="1" min="4" max="4"/>
    <col width="12" customWidth="1" min="5" max="5"/>
    <col width="11" customWidth="1" min="6" max="6"/>
    <col width="9" customWidth="1" min="7" max="7"/>
    <col width="9" customWidth="1" min="8" max="8"/>
    <col width="11" customWidth="1" min="9" max="9"/>
    <col width="11" customWidth="1" min="10" max="10"/>
    <col width="12" customWidth="1" min="11" max="11"/>
    <col width="10" customWidth="1" min="12" max="12"/>
    <col width="11" customWidth="1" min="13" max="13"/>
    <col width="10" customWidth="1" min="14" max="14"/>
    <col width="12" customWidth="1" min="15" max="15"/>
    <col width="10" customWidth="1" min="16" max="16"/>
    <col width="9" customWidth="1" min="17" max="17"/>
    <col width="12" customWidth="1" min="18" max="18"/>
    <col width="14" customWidth="1" min="19" max="19"/>
  </cols>
  <sheetData>
    <row r="1" ht="32" customHeight="1">
      <c r="A1" s="2" t="inlineStr">
        <is>
          <t>video_id</t>
        </is>
      </c>
      <c r="B1" s="2" t="inlineStr">
        <is>
          <t>account</t>
        </is>
      </c>
      <c r="C1" s="2" t="inlineStr">
        <is>
          <t>format</t>
        </is>
      </c>
      <c r="D1" s="2" t="inlineStr">
        <is>
          <t>hook</t>
        </is>
      </c>
      <c r="E1" s="2" t="inlineStr">
        <is>
          <t>posted_date</t>
        </is>
      </c>
      <c r="F1" s="2" t="inlineStr">
        <is>
          <t>views_48h</t>
        </is>
      </c>
      <c r="G1" s="2" t="inlineStr">
        <is>
          <t>likes</t>
        </is>
      </c>
      <c r="H1" s="2" t="inlineStr">
        <is>
          <t>shares</t>
        </is>
      </c>
      <c r="I1" s="2" t="inlineStr">
        <is>
          <t>profile_visits</t>
        </is>
      </c>
      <c r="J1" s="2" t="inlineStr">
        <is>
          <t>direct_link_clicks</t>
        </is>
      </c>
      <c r="K1" s="2" t="inlineStr">
        <is>
          <t>share_of_acct_day</t>
        </is>
      </c>
      <c r="L1" s="2" t="inlineStr">
        <is>
          <t>est_clicks</t>
        </is>
      </c>
      <c r="M1" s="2" t="inlineStr">
        <is>
          <t>est_installs</t>
        </is>
      </c>
      <c r="N1" s="2" t="inlineStr">
        <is>
          <t>est_trials</t>
        </is>
      </c>
      <c r="O1" s="2" t="inlineStr">
        <is>
          <t>installs_per_10k_views</t>
        </is>
      </c>
      <c r="P1" s="2" t="inlineStr">
        <is>
          <t>comments</t>
        </is>
      </c>
      <c r="Q1" s="2" t="inlineStr">
        <is>
          <t>saves</t>
        </is>
      </c>
      <c r="R1" s="2" t="inlineStr">
        <is>
          <t>profile_view_rate</t>
        </is>
      </c>
      <c r="S1" s="2" t="inlineStr">
        <is>
          <t>shares_saves_per_1k_views</t>
        </is>
      </c>
      <c r="T1" s="7" t="inlineStr">
        <is>
          <t>← rows 2-5, Daily rows 2-4 and Search/Baseline row 2 are SAMPLE data, delete before use</t>
        </is>
      </c>
    </row>
    <row r="2">
      <c r="A2" s="8" t="inlineStr">
        <is>
          <t>tt01-1024-1</t>
        </is>
      </c>
      <c r="B2" s="8" t="inlineStr">
        <is>
          <t>tt01</t>
        </is>
      </c>
      <c r="C2" s="8" t="inlineStr">
        <is>
          <t>whatif</t>
        </is>
      </c>
      <c r="D2" s="8" t="inlineStr">
        <is>
          <t>what-if-fajr-was-your-last</t>
        </is>
      </c>
      <c r="E2" s="9" t="n">
        <v>46319</v>
      </c>
      <c r="F2" s="8" t="n">
        <v>12000</v>
      </c>
      <c r="G2" s="8" t="n">
        <v>800</v>
      </c>
      <c r="H2" s="8" t="n">
        <v>90</v>
      </c>
      <c r="I2" s="8" t="n">
        <v>300</v>
      </c>
      <c r="J2" s="8" t="n">
        <v>0</v>
      </c>
      <c r="K2" s="10">
        <f>IF(OR(F2="",SUMIFS($F:$F,$B:$B,B2,$E:$E,E2)=0),"",IF(SUMIFS($I:$I,$B:$B,B2,$E:$E,E2)&gt;0,N(I2)/SUMIFS($I:$I,$B:$B,B2,$E:$E,E2),F2/SUMIFS($F:$F,$B:$B,B2,$E:$E,E2)))</f>
        <v/>
      </c>
      <c r="L2" s="3">
        <f>IF(K2="","",K2*SUMIFS(Daily!$D:$D,Daily!$B:$B,B2,Daily!$A:$A,E2)+N(J2))</f>
        <v/>
      </c>
      <c r="M2" s="3">
        <f>IF(K2="","",K2*SUMIFS(Daily!$G:$G,Daily!$B:$B,B2,Daily!$A:$A,E2))</f>
        <v/>
      </c>
      <c r="N2" s="3">
        <f>IF(K2="","",K2*SUMIFS(Daily!$H:$H,Daily!$B:$B,B2,Daily!$A:$A,E2))</f>
        <v/>
      </c>
      <c r="O2" s="3">
        <f>IF(OR(M2="",F2=0),"",M2/F2*10000)</f>
        <v/>
      </c>
      <c r="P2" s="8" t="n">
        <v>120</v>
      </c>
      <c r="Q2" s="8" t="n">
        <v>300</v>
      </c>
      <c r="R2" s="6">
        <f>IF(OR(F2="",F2=0),"",N(I2)/F2)</f>
        <v/>
      </c>
      <c r="S2" s="3">
        <f>IF(OR(F2="",F2=0),"",(N(H2)+N(Q2))/F2*1000)</f>
        <v/>
      </c>
    </row>
    <row r="3">
      <c r="A3" s="8" t="inlineStr">
        <is>
          <t>tt01-1024-2</t>
        </is>
      </c>
      <c r="B3" s="8" t="inlineStr">
        <is>
          <t>tt01</t>
        </is>
      </c>
      <c r="C3" s="8" t="inlineStr">
        <is>
          <t>whatif</t>
        </is>
      </c>
      <c r="D3" s="8" t="inlineStr">
        <is>
          <t>what-if-you-heard-adhan-in-jannah</t>
        </is>
      </c>
      <c r="E3" s="9" t="n">
        <v>46319</v>
      </c>
      <c r="F3" s="8" t="n">
        <v>4000</v>
      </c>
      <c r="G3" s="8" t="n">
        <v>210</v>
      </c>
      <c r="H3" s="8" t="n">
        <v>15</v>
      </c>
      <c r="I3" s="8" t="n">
        <v>80</v>
      </c>
      <c r="J3" s="8" t="n">
        <v>0</v>
      </c>
      <c r="K3" s="10">
        <f>IF(OR(F3="",SUMIFS($F:$F,$B:$B,B3,$E:$E,E3)=0),"",IF(SUMIFS($I:$I,$B:$B,B3,$E:$E,E3)&gt;0,N(I3)/SUMIFS($I:$I,$B:$B,B3,$E:$E,E3),F3/SUMIFS($F:$F,$B:$B,B3,$E:$E,E3)))</f>
        <v/>
      </c>
      <c r="L3" s="3">
        <f>IF(K3="","",K3*SUMIFS(Daily!$D:$D,Daily!$B:$B,B3,Daily!$A:$A,E3)+N(J3))</f>
        <v/>
      </c>
      <c r="M3" s="3">
        <f>IF(K3="","",K3*SUMIFS(Daily!$G:$G,Daily!$B:$B,B3,Daily!$A:$A,E3))</f>
        <v/>
      </c>
      <c r="N3" s="3">
        <f>IF(K3="","",K3*SUMIFS(Daily!$H:$H,Daily!$B:$B,B3,Daily!$A:$A,E3))</f>
        <v/>
      </c>
      <c r="O3" s="3">
        <f>IF(OR(M3="",F3=0),"",M3/F3*10000)</f>
        <v/>
      </c>
      <c r="P3" s="8" t="n">
        <v>20</v>
      </c>
      <c r="Q3" s="8" t="n">
        <v>40</v>
      </c>
      <c r="R3" s="6">
        <f>IF(OR(F3="",F3=0),"",N(I3)/F3)</f>
        <v/>
      </c>
      <c r="S3" s="3">
        <f>IF(OR(F3="",F3=0),"",(N(H3)+N(Q3))/F3*1000)</f>
        <v/>
      </c>
    </row>
    <row r="4">
      <c r="A4" s="8" t="inlineStr">
        <is>
          <t>tt05-1024-1</t>
        </is>
      </c>
      <c r="B4" s="8" t="inlineStr">
        <is>
          <t>tt05</t>
        </is>
      </c>
      <c r="C4" s="8" t="inlineStr">
        <is>
          <t>alarm</t>
        </is>
      </c>
      <c r="D4" s="8" t="inlineStr">
        <is>
          <t>alarm-stops-at-prayer-mat</t>
        </is>
      </c>
      <c r="E4" s="9" t="n">
        <v>46319</v>
      </c>
      <c r="F4" s="8" t="n">
        <v>6000</v>
      </c>
      <c r="G4" s="8" t="n">
        <v>500</v>
      </c>
      <c r="H4" s="8" t="n">
        <v>60</v>
      </c>
      <c r="I4" s="8" t="n">
        <v>400</v>
      </c>
      <c r="J4" s="8" t="n">
        <v>0</v>
      </c>
      <c r="K4" s="10">
        <f>IF(OR(F4="",SUMIFS($F:$F,$B:$B,B4,$E:$E,E4)=0),"",IF(SUMIFS($I:$I,$B:$B,B4,$E:$E,E4)&gt;0,N(I4)/SUMIFS($I:$I,$B:$B,B4,$E:$E,E4),F4/SUMIFS($F:$F,$B:$B,B4,$E:$E,E4)))</f>
        <v/>
      </c>
      <c r="L4" s="3">
        <f>IF(K4="","",K4*SUMIFS(Daily!$D:$D,Daily!$B:$B,B4,Daily!$A:$A,E4)+N(J4))</f>
        <v/>
      </c>
      <c r="M4" s="3">
        <f>IF(K4="","",K4*SUMIFS(Daily!$G:$G,Daily!$B:$B,B4,Daily!$A:$A,E4))</f>
        <v/>
      </c>
      <c r="N4" s="3">
        <f>IF(K4="","",K4*SUMIFS(Daily!$H:$H,Daily!$B:$B,B4,Daily!$A:$A,E4))</f>
        <v/>
      </c>
      <c r="O4" s="3">
        <f>IF(OR(M4="",F4=0),"",M4/F4*10000)</f>
        <v/>
      </c>
      <c r="P4" s="8" t="n">
        <v>90</v>
      </c>
      <c r="Q4" s="8" t="n">
        <v>210</v>
      </c>
      <c r="R4" s="6">
        <f>IF(OR(F4="",F4=0),"",N(I4)/F4)</f>
        <v/>
      </c>
      <c r="S4" s="3">
        <f>IF(OR(F4="",F4=0),"",(N(H4)+N(Q4))/F4*1000)</f>
        <v/>
      </c>
    </row>
    <row r="5">
      <c r="A5" s="8" t="inlineStr">
        <is>
          <t>ig1-1024-1</t>
        </is>
      </c>
      <c r="B5" s="8" t="inlineStr">
        <is>
          <t>ig1</t>
        </is>
      </c>
      <c r="C5" s="8" t="inlineStr">
        <is>
          <t>alarm</t>
        </is>
      </c>
      <c r="D5" s="8" t="inlineStr">
        <is>
          <t>alarm-stops-at-prayer-mat</t>
        </is>
      </c>
      <c r="E5" s="9" t="n">
        <v>46319</v>
      </c>
      <c r="F5" s="8" t="n">
        <v>9000</v>
      </c>
      <c r="G5" s="8" t="n">
        <v>700</v>
      </c>
      <c r="H5" s="8" t="n">
        <v>120</v>
      </c>
      <c r="I5" s="8" t="n">
        <v>500</v>
      </c>
      <c r="J5" s="8" t="n">
        <v>35</v>
      </c>
      <c r="K5" s="10">
        <f>IF(OR(F5="",SUMIFS($F:$F,$B:$B,B5,$E:$E,E5)=0),"",IF(SUMIFS($I:$I,$B:$B,B5,$E:$E,E5)&gt;0,N(I5)/SUMIFS($I:$I,$B:$B,B5,$E:$E,E5),F5/SUMIFS($F:$F,$B:$B,B5,$E:$E,E5)))</f>
        <v/>
      </c>
      <c r="L5" s="3">
        <f>IF(K5="","",K5*SUMIFS(Daily!$D:$D,Daily!$B:$B,B5,Daily!$A:$A,E5)+N(J5))</f>
        <v/>
      </c>
      <c r="M5" s="3">
        <f>IF(K5="","",K5*SUMIFS(Daily!$G:$G,Daily!$B:$B,B5,Daily!$A:$A,E5))</f>
        <v/>
      </c>
      <c r="N5" s="3">
        <f>IF(K5="","",K5*SUMIFS(Daily!$H:$H,Daily!$B:$B,B5,Daily!$A:$A,E5))</f>
        <v/>
      </c>
      <c r="O5" s="3">
        <f>IF(OR(M5="",F5=0),"",M5/F5*10000)</f>
        <v/>
      </c>
      <c r="P5" s="8" t="n">
        <v>150</v>
      </c>
      <c r="Q5" s="8" t="n">
        <v>400</v>
      </c>
      <c r="R5" s="6">
        <f>IF(OR(F5="",F5=0),"",N(I5)/F5)</f>
        <v/>
      </c>
      <c r="S5" s="3">
        <f>IF(OR(F5="",F5=0),"",(N(H5)+N(Q5))/F5*1000)</f>
        <v/>
      </c>
    </row>
    <row r="6">
      <c r="A6" s="8" t="n"/>
      <c r="B6" s="8" t="n"/>
      <c r="C6" s="8" t="n"/>
      <c r="D6" s="8" t="n"/>
      <c r="E6" s="9" t="n"/>
      <c r="F6" s="8" t="n"/>
      <c r="G6" s="8" t="n"/>
      <c r="H6" s="8" t="n"/>
      <c r="I6" s="8" t="n"/>
      <c r="J6" s="8" t="n"/>
      <c r="K6" s="10">
        <f>IF(OR(F6="",SUMIFS($F:$F,$B:$B,B6,$E:$E,E6)=0),"",IF(SUMIFS($I:$I,$B:$B,B6,$E:$E,E6)&gt;0,N(I6)/SUMIFS($I:$I,$B:$B,B6,$E:$E,E6),F6/SUMIFS($F:$F,$B:$B,B6,$E:$E,E6)))</f>
        <v/>
      </c>
      <c r="L6" s="3">
        <f>IF(K6="","",K6*SUMIFS(Daily!$D:$D,Daily!$B:$B,B6,Daily!$A:$A,E6)+N(J6))</f>
        <v/>
      </c>
      <c r="M6" s="3">
        <f>IF(K6="","",K6*SUMIFS(Daily!$G:$G,Daily!$B:$B,B6,Daily!$A:$A,E6))</f>
        <v/>
      </c>
      <c r="N6" s="3">
        <f>IF(K6="","",K6*SUMIFS(Daily!$H:$H,Daily!$B:$B,B6,Daily!$A:$A,E6))</f>
        <v/>
      </c>
      <c r="O6" s="3">
        <f>IF(OR(M6="",F6=0),"",M6/F6*10000)</f>
        <v/>
      </c>
      <c r="P6" s="8" t="n"/>
      <c r="Q6" s="8" t="n"/>
      <c r="R6" s="6">
        <f>IF(OR(F6="",F6=0),"",N(I6)/F6)</f>
        <v/>
      </c>
      <c r="S6" s="3">
        <f>IF(OR(F6="",F6=0),"",(N(H6)+N(Q6))/F6*1000)</f>
        <v/>
      </c>
    </row>
    <row r="7">
      <c r="A7" s="8" t="n"/>
      <c r="B7" s="8" t="n"/>
      <c r="C7" s="8" t="n"/>
      <c r="D7" s="8" t="n"/>
      <c r="E7" s="9" t="n"/>
      <c r="F7" s="8" t="n"/>
      <c r="G7" s="8" t="n"/>
      <c r="H7" s="8" t="n"/>
      <c r="I7" s="8" t="n"/>
      <c r="J7" s="8" t="n"/>
      <c r="K7" s="10">
        <f>IF(OR(F7="",SUMIFS($F:$F,$B:$B,B7,$E:$E,E7)=0),"",IF(SUMIFS($I:$I,$B:$B,B7,$E:$E,E7)&gt;0,N(I7)/SUMIFS($I:$I,$B:$B,B7,$E:$E,E7),F7/SUMIFS($F:$F,$B:$B,B7,$E:$E,E7)))</f>
        <v/>
      </c>
      <c r="L7" s="3">
        <f>IF(K7="","",K7*SUMIFS(Daily!$D:$D,Daily!$B:$B,B7,Daily!$A:$A,E7)+N(J7))</f>
        <v/>
      </c>
      <c r="M7" s="3">
        <f>IF(K7="","",K7*SUMIFS(Daily!$G:$G,Daily!$B:$B,B7,Daily!$A:$A,E7))</f>
        <v/>
      </c>
      <c r="N7" s="3">
        <f>IF(K7="","",K7*SUMIFS(Daily!$H:$H,Daily!$B:$B,B7,Daily!$A:$A,E7))</f>
        <v/>
      </c>
      <c r="O7" s="3">
        <f>IF(OR(M7="",F7=0),"",M7/F7*10000)</f>
        <v/>
      </c>
      <c r="P7" s="8" t="n"/>
      <c r="Q7" s="8" t="n"/>
      <c r="R7" s="6">
        <f>IF(OR(F7="",F7=0),"",N(I7)/F7)</f>
        <v/>
      </c>
      <c r="S7" s="3">
        <f>IF(OR(F7="",F7=0),"",(N(H7)+N(Q7))/F7*1000)</f>
        <v/>
      </c>
    </row>
    <row r="8">
      <c r="A8" s="8" t="n"/>
      <c r="B8" s="8" t="n"/>
      <c r="C8" s="8" t="n"/>
      <c r="D8" s="8" t="n"/>
      <c r="E8" s="9" t="n"/>
      <c r="F8" s="8" t="n"/>
      <c r="G8" s="8" t="n"/>
      <c r="H8" s="8" t="n"/>
      <c r="I8" s="8" t="n"/>
      <c r="J8" s="8" t="n"/>
      <c r="K8" s="10">
        <f>IF(OR(F8="",SUMIFS($F:$F,$B:$B,B8,$E:$E,E8)=0),"",IF(SUMIFS($I:$I,$B:$B,B8,$E:$E,E8)&gt;0,N(I8)/SUMIFS($I:$I,$B:$B,B8,$E:$E,E8),F8/SUMIFS($F:$F,$B:$B,B8,$E:$E,E8)))</f>
        <v/>
      </c>
      <c r="L8" s="3">
        <f>IF(K8="","",K8*SUMIFS(Daily!$D:$D,Daily!$B:$B,B8,Daily!$A:$A,E8)+N(J8))</f>
        <v/>
      </c>
      <c r="M8" s="3">
        <f>IF(K8="","",K8*SUMIFS(Daily!$G:$G,Daily!$B:$B,B8,Daily!$A:$A,E8))</f>
        <v/>
      </c>
      <c r="N8" s="3">
        <f>IF(K8="","",K8*SUMIFS(Daily!$H:$H,Daily!$B:$B,B8,Daily!$A:$A,E8))</f>
        <v/>
      </c>
      <c r="O8" s="3">
        <f>IF(OR(M8="",F8=0),"",M8/F8*10000)</f>
        <v/>
      </c>
      <c r="P8" s="8" t="n"/>
      <c r="Q8" s="8" t="n"/>
      <c r="R8" s="6">
        <f>IF(OR(F8="",F8=0),"",N(I8)/F8)</f>
        <v/>
      </c>
      <c r="S8" s="3">
        <f>IF(OR(F8="",F8=0),"",(N(H8)+N(Q8))/F8*1000)</f>
        <v/>
      </c>
    </row>
    <row r="9">
      <c r="A9" s="8" t="n"/>
      <c r="B9" s="8" t="n"/>
      <c r="C9" s="8" t="n"/>
      <c r="D9" s="8" t="n"/>
      <c r="E9" s="9" t="n"/>
      <c r="F9" s="8" t="n"/>
      <c r="G9" s="8" t="n"/>
      <c r="H9" s="8" t="n"/>
      <c r="I9" s="8" t="n"/>
      <c r="J9" s="8" t="n"/>
      <c r="K9" s="10">
        <f>IF(OR(F9="",SUMIFS($F:$F,$B:$B,B9,$E:$E,E9)=0),"",IF(SUMIFS($I:$I,$B:$B,B9,$E:$E,E9)&gt;0,N(I9)/SUMIFS($I:$I,$B:$B,B9,$E:$E,E9),F9/SUMIFS($F:$F,$B:$B,B9,$E:$E,E9)))</f>
        <v/>
      </c>
      <c r="L9" s="3">
        <f>IF(K9="","",K9*SUMIFS(Daily!$D:$D,Daily!$B:$B,B9,Daily!$A:$A,E9)+N(J9))</f>
        <v/>
      </c>
      <c r="M9" s="3">
        <f>IF(K9="","",K9*SUMIFS(Daily!$G:$G,Daily!$B:$B,B9,Daily!$A:$A,E9))</f>
        <v/>
      </c>
      <c r="N9" s="3">
        <f>IF(K9="","",K9*SUMIFS(Daily!$H:$H,Daily!$B:$B,B9,Daily!$A:$A,E9))</f>
        <v/>
      </c>
      <c r="O9" s="3">
        <f>IF(OR(M9="",F9=0),"",M9/F9*10000)</f>
        <v/>
      </c>
      <c r="P9" s="8" t="n"/>
      <c r="Q9" s="8" t="n"/>
      <c r="R9" s="6">
        <f>IF(OR(F9="",F9=0),"",N(I9)/F9)</f>
        <v/>
      </c>
      <c r="S9" s="3">
        <f>IF(OR(F9="",F9=0),"",(N(H9)+N(Q9))/F9*1000)</f>
        <v/>
      </c>
    </row>
    <row r="10">
      <c r="A10" s="8" t="n"/>
      <c r="B10" s="8" t="n"/>
      <c r="C10" s="8" t="n"/>
      <c r="D10" s="8" t="n"/>
      <c r="E10" s="9" t="n"/>
      <c r="F10" s="8" t="n"/>
      <c r="G10" s="8" t="n"/>
      <c r="H10" s="8" t="n"/>
      <c r="I10" s="8" t="n"/>
      <c r="J10" s="8" t="n"/>
      <c r="K10" s="10">
        <f>IF(OR(F10="",SUMIFS($F:$F,$B:$B,B10,$E:$E,E10)=0),"",IF(SUMIFS($I:$I,$B:$B,B10,$E:$E,E10)&gt;0,N(I10)/SUMIFS($I:$I,$B:$B,B10,$E:$E,E10),F10/SUMIFS($F:$F,$B:$B,B10,$E:$E,E10)))</f>
        <v/>
      </c>
      <c r="L10" s="3">
        <f>IF(K10="","",K10*SUMIFS(Daily!$D:$D,Daily!$B:$B,B10,Daily!$A:$A,E10)+N(J10))</f>
        <v/>
      </c>
      <c r="M10" s="3">
        <f>IF(K10="","",K10*SUMIFS(Daily!$G:$G,Daily!$B:$B,B10,Daily!$A:$A,E10))</f>
        <v/>
      </c>
      <c r="N10" s="3">
        <f>IF(K10="","",K10*SUMIFS(Daily!$H:$H,Daily!$B:$B,B10,Daily!$A:$A,E10))</f>
        <v/>
      </c>
      <c r="O10" s="3">
        <f>IF(OR(M10="",F10=0),"",M10/F10*10000)</f>
        <v/>
      </c>
      <c r="P10" s="8" t="n"/>
      <c r="Q10" s="8" t="n"/>
      <c r="R10" s="6">
        <f>IF(OR(F10="",F10=0),"",N(I10)/F10)</f>
        <v/>
      </c>
      <c r="S10" s="3">
        <f>IF(OR(F10="",F10=0),"",(N(H10)+N(Q10))/F10*1000)</f>
        <v/>
      </c>
    </row>
    <row r="11">
      <c r="A11" s="8" t="n"/>
      <c r="B11" s="8" t="n"/>
      <c r="C11" s="8" t="n"/>
      <c r="D11" s="8" t="n"/>
      <c r="E11" s="9" t="n"/>
      <c r="F11" s="8" t="n"/>
      <c r="G11" s="8" t="n"/>
      <c r="H11" s="8" t="n"/>
      <c r="I11" s="8" t="n"/>
      <c r="J11" s="8" t="n"/>
      <c r="K11" s="10">
        <f>IF(OR(F11="",SUMIFS($F:$F,$B:$B,B11,$E:$E,E11)=0),"",IF(SUMIFS($I:$I,$B:$B,B11,$E:$E,E11)&gt;0,N(I11)/SUMIFS($I:$I,$B:$B,B11,$E:$E,E11),F11/SUMIFS($F:$F,$B:$B,B11,$E:$E,E11)))</f>
        <v/>
      </c>
      <c r="L11" s="3">
        <f>IF(K11="","",K11*SUMIFS(Daily!$D:$D,Daily!$B:$B,B11,Daily!$A:$A,E11)+N(J11))</f>
        <v/>
      </c>
      <c r="M11" s="3">
        <f>IF(K11="","",K11*SUMIFS(Daily!$G:$G,Daily!$B:$B,B11,Daily!$A:$A,E11))</f>
        <v/>
      </c>
      <c r="N11" s="3">
        <f>IF(K11="","",K11*SUMIFS(Daily!$H:$H,Daily!$B:$B,B11,Daily!$A:$A,E11))</f>
        <v/>
      </c>
      <c r="O11" s="3">
        <f>IF(OR(M11="",F11=0),"",M11/F11*10000)</f>
        <v/>
      </c>
      <c r="P11" s="8" t="n"/>
      <c r="Q11" s="8" t="n"/>
      <c r="R11" s="6">
        <f>IF(OR(F11="",F11=0),"",N(I11)/F11)</f>
        <v/>
      </c>
      <c r="S11" s="3">
        <f>IF(OR(F11="",F11=0),"",(N(H11)+N(Q11))/F11*1000)</f>
        <v/>
      </c>
    </row>
    <row r="12">
      <c r="A12" s="8" t="n"/>
      <c r="B12" s="8" t="n"/>
      <c r="C12" s="8" t="n"/>
      <c r="D12" s="8" t="n"/>
      <c r="E12" s="9" t="n"/>
      <c r="F12" s="8" t="n"/>
      <c r="G12" s="8" t="n"/>
      <c r="H12" s="8" t="n"/>
      <c r="I12" s="8" t="n"/>
      <c r="J12" s="8" t="n"/>
      <c r="K12" s="10">
        <f>IF(OR(F12="",SUMIFS($F:$F,$B:$B,B12,$E:$E,E12)=0),"",IF(SUMIFS($I:$I,$B:$B,B12,$E:$E,E12)&gt;0,N(I12)/SUMIFS($I:$I,$B:$B,B12,$E:$E,E12),F12/SUMIFS($F:$F,$B:$B,B12,$E:$E,E12)))</f>
        <v/>
      </c>
      <c r="L12" s="3">
        <f>IF(K12="","",K12*SUMIFS(Daily!$D:$D,Daily!$B:$B,B12,Daily!$A:$A,E12)+N(J12))</f>
        <v/>
      </c>
      <c r="M12" s="3">
        <f>IF(K12="","",K12*SUMIFS(Daily!$G:$G,Daily!$B:$B,B12,Daily!$A:$A,E12))</f>
        <v/>
      </c>
      <c r="N12" s="3">
        <f>IF(K12="","",K12*SUMIFS(Daily!$H:$H,Daily!$B:$B,B12,Daily!$A:$A,E12))</f>
        <v/>
      </c>
      <c r="O12" s="3">
        <f>IF(OR(M12="",F12=0),"",M12/F12*10000)</f>
        <v/>
      </c>
      <c r="P12" s="8" t="n"/>
      <c r="Q12" s="8" t="n"/>
      <c r="R12" s="6">
        <f>IF(OR(F12="",F12=0),"",N(I12)/F12)</f>
        <v/>
      </c>
      <c r="S12" s="3">
        <f>IF(OR(F12="",F12=0),"",(N(H12)+N(Q12))/F12*1000)</f>
        <v/>
      </c>
    </row>
    <row r="13">
      <c r="A13" s="8" t="n"/>
      <c r="B13" s="8" t="n"/>
      <c r="C13" s="8" t="n"/>
      <c r="D13" s="8" t="n"/>
      <c r="E13" s="9" t="n"/>
      <c r="F13" s="8" t="n"/>
      <c r="G13" s="8" t="n"/>
      <c r="H13" s="8" t="n"/>
      <c r="I13" s="8" t="n"/>
      <c r="J13" s="8" t="n"/>
      <c r="K13" s="10">
        <f>IF(OR(F13="",SUMIFS($F:$F,$B:$B,B13,$E:$E,E13)=0),"",IF(SUMIFS($I:$I,$B:$B,B13,$E:$E,E13)&gt;0,N(I13)/SUMIFS($I:$I,$B:$B,B13,$E:$E,E13),F13/SUMIFS($F:$F,$B:$B,B13,$E:$E,E13)))</f>
        <v/>
      </c>
      <c r="L13" s="3">
        <f>IF(K13="","",K13*SUMIFS(Daily!$D:$D,Daily!$B:$B,B13,Daily!$A:$A,E13)+N(J13))</f>
        <v/>
      </c>
      <c r="M13" s="3">
        <f>IF(K13="","",K13*SUMIFS(Daily!$G:$G,Daily!$B:$B,B13,Daily!$A:$A,E13))</f>
        <v/>
      </c>
      <c r="N13" s="3">
        <f>IF(K13="","",K13*SUMIFS(Daily!$H:$H,Daily!$B:$B,B13,Daily!$A:$A,E13))</f>
        <v/>
      </c>
      <c r="O13" s="3">
        <f>IF(OR(M13="",F13=0),"",M13/F13*10000)</f>
        <v/>
      </c>
      <c r="P13" s="8" t="n"/>
      <c r="Q13" s="8" t="n"/>
      <c r="R13" s="6">
        <f>IF(OR(F13="",F13=0),"",N(I13)/F13)</f>
        <v/>
      </c>
      <c r="S13" s="3">
        <f>IF(OR(F13="",F13=0),"",(N(H13)+N(Q13))/F13*1000)</f>
        <v/>
      </c>
    </row>
    <row r="14">
      <c r="A14" s="8" t="n"/>
      <c r="B14" s="8" t="n"/>
      <c r="C14" s="8" t="n"/>
      <c r="D14" s="8" t="n"/>
      <c r="E14" s="9" t="n"/>
      <c r="F14" s="8" t="n"/>
      <c r="G14" s="8" t="n"/>
      <c r="H14" s="8" t="n"/>
      <c r="I14" s="8" t="n"/>
      <c r="J14" s="8" t="n"/>
      <c r="K14" s="10">
        <f>IF(OR(F14="",SUMIFS($F:$F,$B:$B,B14,$E:$E,E14)=0),"",IF(SUMIFS($I:$I,$B:$B,B14,$E:$E,E14)&gt;0,N(I14)/SUMIFS($I:$I,$B:$B,B14,$E:$E,E14),F14/SUMIFS($F:$F,$B:$B,B14,$E:$E,E14)))</f>
        <v/>
      </c>
      <c r="L14" s="3">
        <f>IF(K14="","",K14*SUMIFS(Daily!$D:$D,Daily!$B:$B,B14,Daily!$A:$A,E14)+N(J14))</f>
        <v/>
      </c>
      <c r="M14" s="3">
        <f>IF(K14="","",K14*SUMIFS(Daily!$G:$G,Daily!$B:$B,B14,Daily!$A:$A,E14))</f>
        <v/>
      </c>
      <c r="N14" s="3">
        <f>IF(K14="","",K14*SUMIFS(Daily!$H:$H,Daily!$B:$B,B14,Daily!$A:$A,E14))</f>
        <v/>
      </c>
      <c r="O14" s="3">
        <f>IF(OR(M14="",F14=0),"",M14/F14*10000)</f>
        <v/>
      </c>
      <c r="P14" s="8" t="n"/>
      <c r="Q14" s="8" t="n"/>
      <c r="R14" s="6">
        <f>IF(OR(F14="",F14=0),"",N(I14)/F14)</f>
        <v/>
      </c>
      <c r="S14" s="3">
        <f>IF(OR(F14="",F14=0),"",(N(H14)+N(Q14))/F14*1000)</f>
        <v/>
      </c>
    </row>
    <row r="15">
      <c r="A15" s="8" t="n"/>
      <c r="B15" s="8" t="n"/>
      <c r="C15" s="8" t="n"/>
      <c r="D15" s="8" t="n"/>
      <c r="E15" s="9" t="n"/>
      <c r="F15" s="8" t="n"/>
      <c r="G15" s="8" t="n"/>
      <c r="H15" s="8" t="n"/>
      <c r="I15" s="8" t="n"/>
      <c r="J15" s="8" t="n"/>
      <c r="K15" s="10">
        <f>IF(OR(F15="",SUMIFS($F:$F,$B:$B,B15,$E:$E,E15)=0),"",IF(SUMIFS($I:$I,$B:$B,B15,$E:$E,E15)&gt;0,N(I15)/SUMIFS($I:$I,$B:$B,B15,$E:$E,E15),F15/SUMIFS($F:$F,$B:$B,B15,$E:$E,E15)))</f>
        <v/>
      </c>
      <c r="L15" s="3">
        <f>IF(K15="","",K15*SUMIFS(Daily!$D:$D,Daily!$B:$B,B15,Daily!$A:$A,E15)+N(J15))</f>
        <v/>
      </c>
      <c r="M15" s="3">
        <f>IF(K15="","",K15*SUMIFS(Daily!$G:$G,Daily!$B:$B,B15,Daily!$A:$A,E15))</f>
        <v/>
      </c>
      <c r="N15" s="3">
        <f>IF(K15="","",K15*SUMIFS(Daily!$H:$H,Daily!$B:$B,B15,Daily!$A:$A,E15))</f>
        <v/>
      </c>
      <c r="O15" s="3">
        <f>IF(OR(M15="",F15=0),"",M15/F15*10000)</f>
        <v/>
      </c>
      <c r="P15" s="8" t="n"/>
      <c r="Q15" s="8" t="n"/>
      <c r="R15" s="6">
        <f>IF(OR(F15="",F15=0),"",N(I15)/F15)</f>
        <v/>
      </c>
      <c r="S15" s="3">
        <f>IF(OR(F15="",F15=0),"",(N(H15)+N(Q15))/F15*1000)</f>
        <v/>
      </c>
    </row>
    <row r="16">
      <c r="A16" s="8" t="n"/>
      <c r="B16" s="8" t="n"/>
      <c r="C16" s="8" t="n"/>
      <c r="D16" s="8" t="n"/>
      <c r="E16" s="9" t="n"/>
      <c r="F16" s="8" t="n"/>
      <c r="G16" s="8" t="n"/>
      <c r="H16" s="8" t="n"/>
      <c r="I16" s="8" t="n"/>
      <c r="J16" s="8" t="n"/>
      <c r="K16" s="10">
        <f>IF(OR(F16="",SUMIFS($F:$F,$B:$B,B16,$E:$E,E16)=0),"",IF(SUMIFS($I:$I,$B:$B,B16,$E:$E,E16)&gt;0,N(I16)/SUMIFS($I:$I,$B:$B,B16,$E:$E,E16),F16/SUMIFS($F:$F,$B:$B,B16,$E:$E,E16)))</f>
        <v/>
      </c>
      <c r="L16" s="3">
        <f>IF(K16="","",K16*SUMIFS(Daily!$D:$D,Daily!$B:$B,B16,Daily!$A:$A,E16)+N(J16))</f>
        <v/>
      </c>
      <c r="M16" s="3">
        <f>IF(K16="","",K16*SUMIFS(Daily!$G:$G,Daily!$B:$B,B16,Daily!$A:$A,E16))</f>
        <v/>
      </c>
      <c r="N16" s="3">
        <f>IF(K16="","",K16*SUMIFS(Daily!$H:$H,Daily!$B:$B,B16,Daily!$A:$A,E16))</f>
        <v/>
      </c>
      <c r="O16" s="3">
        <f>IF(OR(M16="",F16=0),"",M16/F16*10000)</f>
        <v/>
      </c>
      <c r="P16" s="8" t="n"/>
      <c r="Q16" s="8" t="n"/>
      <c r="R16" s="6">
        <f>IF(OR(F16="",F16=0),"",N(I16)/F16)</f>
        <v/>
      </c>
      <c r="S16" s="3">
        <f>IF(OR(F16="",F16=0),"",(N(H16)+N(Q16))/F16*1000)</f>
        <v/>
      </c>
    </row>
    <row r="17">
      <c r="A17" s="8" t="n"/>
      <c r="B17" s="8" t="n"/>
      <c r="C17" s="8" t="n"/>
      <c r="D17" s="8" t="n"/>
      <c r="E17" s="9" t="n"/>
      <c r="F17" s="8" t="n"/>
      <c r="G17" s="8" t="n"/>
      <c r="H17" s="8" t="n"/>
      <c r="I17" s="8" t="n"/>
      <c r="J17" s="8" t="n"/>
      <c r="K17" s="10">
        <f>IF(OR(F17="",SUMIFS($F:$F,$B:$B,B17,$E:$E,E17)=0),"",IF(SUMIFS($I:$I,$B:$B,B17,$E:$E,E17)&gt;0,N(I17)/SUMIFS($I:$I,$B:$B,B17,$E:$E,E17),F17/SUMIFS($F:$F,$B:$B,B17,$E:$E,E17)))</f>
        <v/>
      </c>
      <c r="L17" s="3">
        <f>IF(K17="","",K17*SUMIFS(Daily!$D:$D,Daily!$B:$B,B17,Daily!$A:$A,E17)+N(J17))</f>
        <v/>
      </c>
      <c r="M17" s="3">
        <f>IF(K17="","",K17*SUMIFS(Daily!$G:$G,Daily!$B:$B,B17,Daily!$A:$A,E17))</f>
        <v/>
      </c>
      <c r="N17" s="3">
        <f>IF(K17="","",K17*SUMIFS(Daily!$H:$H,Daily!$B:$B,B17,Daily!$A:$A,E17))</f>
        <v/>
      </c>
      <c r="O17" s="3">
        <f>IF(OR(M17="",F17=0),"",M17/F17*10000)</f>
        <v/>
      </c>
      <c r="P17" s="8" t="n"/>
      <c r="Q17" s="8" t="n"/>
      <c r="R17" s="6">
        <f>IF(OR(F17="",F17=0),"",N(I17)/F17)</f>
        <v/>
      </c>
      <c r="S17" s="3">
        <f>IF(OR(F17="",F17=0),"",(N(H17)+N(Q17))/F17*1000)</f>
        <v/>
      </c>
    </row>
    <row r="18">
      <c r="A18" s="8" t="n"/>
      <c r="B18" s="8" t="n"/>
      <c r="C18" s="8" t="n"/>
      <c r="D18" s="8" t="n"/>
      <c r="E18" s="9" t="n"/>
      <c r="F18" s="8" t="n"/>
      <c r="G18" s="8" t="n"/>
      <c r="H18" s="8" t="n"/>
      <c r="I18" s="8" t="n"/>
      <c r="J18" s="8" t="n"/>
      <c r="K18" s="10">
        <f>IF(OR(F18="",SUMIFS($F:$F,$B:$B,B18,$E:$E,E18)=0),"",IF(SUMIFS($I:$I,$B:$B,B18,$E:$E,E18)&gt;0,N(I18)/SUMIFS($I:$I,$B:$B,B18,$E:$E,E18),F18/SUMIFS($F:$F,$B:$B,B18,$E:$E,E18)))</f>
        <v/>
      </c>
      <c r="L18" s="3">
        <f>IF(K18="","",K18*SUMIFS(Daily!$D:$D,Daily!$B:$B,B18,Daily!$A:$A,E18)+N(J18))</f>
        <v/>
      </c>
      <c r="M18" s="3">
        <f>IF(K18="","",K18*SUMIFS(Daily!$G:$G,Daily!$B:$B,B18,Daily!$A:$A,E18))</f>
        <v/>
      </c>
      <c r="N18" s="3">
        <f>IF(K18="","",K18*SUMIFS(Daily!$H:$H,Daily!$B:$B,B18,Daily!$A:$A,E18))</f>
        <v/>
      </c>
      <c r="O18" s="3">
        <f>IF(OR(M18="",F18=0),"",M18/F18*10000)</f>
        <v/>
      </c>
      <c r="P18" s="8" t="n"/>
      <c r="Q18" s="8" t="n"/>
      <c r="R18" s="6">
        <f>IF(OR(F18="",F18=0),"",N(I18)/F18)</f>
        <v/>
      </c>
      <c r="S18" s="3">
        <f>IF(OR(F18="",F18=0),"",(N(H18)+N(Q18))/F18*1000)</f>
        <v/>
      </c>
    </row>
    <row r="19">
      <c r="A19" s="8" t="n"/>
      <c r="B19" s="8" t="n"/>
      <c r="C19" s="8" t="n"/>
      <c r="D19" s="8" t="n"/>
      <c r="E19" s="9" t="n"/>
      <c r="F19" s="8" t="n"/>
      <c r="G19" s="8" t="n"/>
      <c r="H19" s="8" t="n"/>
      <c r="I19" s="8" t="n"/>
      <c r="J19" s="8" t="n"/>
      <c r="K19" s="10">
        <f>IF(OR(F19="",SUMIFS($F:$F,$B:$B,B19,$E:$E,E19)=0),"",IF(SUMIFS($I:$I,$B:$B,B19,$E:$E,E19)&gt;0,N(I19)/SUMIFS($I:$I,$B:$B,B19,$E:$E,E19),F19/SUMIFS($F:$F,$B:$B,B19,$E:$E,E19)))</f>
        <v/>
      </c>
      <c r="L19" s="3">
        <f>IF(K19="","",K19*SUMIFS(Daily!$D:$D,Daily!$B:$B,B19,Daily!$A:$A,E19)+N(J19))</f>
        <v/>
      </c>
      <c r="M19" s="3">
        <f>IF(K19="","",K19*SUMIFS(Daily!$G:$G,Daily!$B:$B,B19,Daily!$A:$A,E19))</f>
        <v/>
      </c>
      <c r="N19" s="3">
        <f>IF(K19="","",K19*SUMIFS(Daily!$H:$H,Daily!$B:$B,B19,Daily!$A:$A,E19))</f>
        <v/>
      </c>
      <c r="O19" s="3">
        <f>IF(OR(M19="",F19=0),"",M19/F19*10000)</f>
        <v/>
      </c>
      <c r="P19" s="8" t="n"/>
      <c r="Q19" s="8" t="n"/>
      <c r="R19" s="6">
        <f>IF(OR(F19="",F19=0),"",N(I19)/F19)</f>
        <v/>
      </c>
      <c r="S19" s="3">
        <f>IF(OR(F19="",F19=0),"",(N(H19)+N(Q19))/F19*1000)</f>
        <v/>
      </c>
    </row>
    <row r="20">
      <c r="A20" s="8" t="n"/>
      <c r="B20" s="8" t="n"/>
      <c r="C20" s="8" t="n"/>
      <c r="D20" s="8" t="n"/>
      <c r="E20" s="9" t="n"/>
      <c r="F20" s="8" t="n"/>
      <c r="G20" s="8" t="n"/>
      <c r="H20" s="8" t="n"/>
      <c r="I20" s="8" t="n"/>
      <c r="J20" s="8" t="n"/>
      <c r="K20" s="10">
        <f>IF(OR(F20="",SUMIFS($F:$F,$B:$B,B20,$E:$E,E20)=0),"",IF(SUMIFS($I:$I,$B:$B,B20,$E:$E,E20)&gt;0,N(I20)/SUMIFS($I:$I,$B:$B,B20,$E:$E,E20),F20/SUMIFS($F:$F,$B:$B,B20,$E:$E,E20)))</f>
        <v/>
      </c>
      <c r="L20" s="3">
        <f>IF(K20="","",K20*SUMIFS(Daily!$D:$D,Daily!$B:$B,B20,Daily!$A:$A,E20)+N(J20))</f>
        <v/>
      </c>
      <c r="M20" s="3">
        <f>IF(K20="","",K20*SUMIFS(Daily!$G:$G,Daily!$B:$B,B20,Daily!$A:$A,E20))</f>
        <v/>
      </c>
      <c r="N20" s="3">
        <f>IF(K20="","",K20*SUMIFS(Daily!$H:$H,Daily!$B:$B,B20,Daily!$A:$A,E20))</f>
        <v/>
      </c>
      <c r="O20" s="3">
        <f>IF(OR(M20="",F20=0),"",M20/F20*10000)</f>
        <v/>
      </c>
      <c r="P20" s="8" t="n"/>
      <c r="Q20" s="8" t="n"/>
      <c r="R20" s="6">
        <f>IF(OR(F20="",F20=0),"",N(I20)/F20)</f>
        <v/>
      </c>
      <c r="S20" s="3">
        <f>IF(OR(F20="",F20=0),"",(N(H20)+N(Q20))/F20*1000)</f>
        <v/>
      </c>
    </row>
    <row r="21">
      <c r="A21" s="8" t="n"/>
      <c r="B21" s="8" t="n"/>
      <c r="C21" s="8" t="n"/>
      <c r="D21" s="8" t="n"/>
      <c r="E21" s="9" t="n"/>
      <c r="F21" s="8" t="n"/>
      <c r="G21" s="8" t="n"/>
      <c r="H21" s="8" t="n"/>
      <c r="I21" s="8" t="n"/>
      <c r="J21" s="8" t="n"/>
      <c r="K21" s="10">
        <f>IF(OR(F21="",SUMIFS($F:$F,$B:$B,B21,$E:$E,E21)=0),"",IF(SUMIFS($I:$I,$B:$B,B21,$E:$E,E21)&gt;0,N(I21)/SUMIFS($I:$I,$B:$B,B21,$E:$E,E21),F21/SUMIFS($F:$F,$B:$B,B21,$E:$E,E21)))</f>
        <v/>
      </c>
      <c r="L21" s="3">
        <f>IF(K21="","",K21*SUMIFS(Daily!$D:$D,Daily!$B:$B,B21,Daily!$A:$A,E21)+N(J21))</f>
        <v/>
      </c>
      <c r="M21" s="3">
        <f>IF(K21="","",K21*SUMIFS(Daily!$G:$G,Daily!$B:$B,B21,Daily!$A:$A,E21))</f>
        <v/>
      </c>
      <c r="N21" s="3">
        <f>IF(K21="","",K21*SUMIFS(Daily!$H:$H,Daily!$B:$B,B21,Daily!$A:$A,E21))</f>
        <v/>
      </c>
      <c r="O21" s="3">
        <f>IF(OR(M21="",F21=0),"",M21/F21*10000)</f>
        <v/>
      </c>
      <c r="P21" s="8" t="n"/>
      <c r="Q21" s="8" t="n"/>
      <c r="R21" s="6">
        <f>IF(OR(F21="",F21=0),"",N(I21)/F21)</f>
        <v/>
      </c>
      <c r="S21" s="3">
        <f>IF(OR(F21="",F21=0),"",(N(H21)+N(Q21))/F21*1000)</f>
        <v/>
      </c>
    </row>
    <row r="22">
      <c r="A22" s="8" t="n"/>
      <c r="B22" s="8" t="n"/>
      <c r="C22" s="8" t="n"/>
      <c r="D22" s="8" t="n"/>
      <c r="E22" s="9" t="n"/>
      <c r="F22" s="8" t="n"/>
      <c r="G22" s="8" t="n"/>
      <c r="H22" s="8" t="n"/>
      <c r="I22" s="8" t="n"/>
      <c r="J22" s="8" t="n"/>
      <c r="K22" s="10">
        <f>IF(OR(F22="",SUMIFS($F:$F,$B:$B,B22,$E:$E,E22)=0),"",IF(SUMIFS($I:$I,$B:$B,B22,$E:$E,E22)&gt;0,N(I22)/SUMIFS($I:$I,$B:$B,B22,$E:$E,E22),F22/SUMIFS($F:$F,$B:$B,B22,$E:$E,E22)))</f>
        <v/>
      </c>
      <c r="L22" s="3">
        <f>IF(K22="","",K22*SUMIFS(Daily!$D:$D,Daily!$B:$B,B22,Daily!$A:$A,E22)+N(J22))</f>
        <v/>
      </c>
      <c r="M22" s="3">
        <f>IF(K22="","",K22*SUMIFS(Daily!$G:$G,Daily!$B:$B,B22,Daily!$A:$A,E22))</f>
        <v/>
      </c>
      <c r="N22" s="3">
        <f>IF(K22="","",K22*SUMIFS(Daily!$H:$H,Daily!$B:$B,B22,Daily!$A:$A,E22))</f>
        <v/>
      </c>
      <c r="O22" s="3">
        <f>IF(OR(M22="",F22=0),"",M22/F22*10000)</f>
        <v/>
      </c>
      <c r="P22" s="8" t="n"/>
      <c r="Q22" s="8" t="n"/>
      <c r="R22" s="6">
        <f>IF(OR(F22="",F22=0),"",N(I22)/F22)</f>
        <v/>
      </c>
      <c r="S22" s="3">
        <f>IF(OR(F22="",F22=0),"",(N(H22)+N(Q22))/F22*1000)</f>
        <v/>
      </c>
    </row>
    <row r="23">
      <c r="A23" s="8" t="n"/>
      <c r="B23" s="8" t="n"/>
      <c r="C23" s="8" t="n"/>
      <c r="D23" s="8" t="n"/>
      <c r="E23" s="9" t="n"/>
      <c r="F23" s="8" t="n"/>
      <c r="G23" s="8" t="n"/>
      <c r="H23" s="8" t="n"/>
      <c r="I23" s="8" t="n"/>
      <c r="J23" s="8" t="n"/>
      <c r="K23" s="10">
        <f>IF(OR(F23="",SUMIFS($F:$F,$B:$B,B23,$E:$E,E23)=0),"",IF(SUMIFS($I:$I,$B:$B,B23,$E:$E,E23)&gt;0,N(I23)/SUMIFS($I:$I,$B:$B,B23,$E:$E,E23),F23/SUMIFS($F:$F,$B:$B,B23,$E:$E,E23)))</f>
        <v/>
      </c>
      <c r="L23" s="3">
        <f>IF(K23="","",K23*SUMIFS(Daily!$D:$D,Daily!$B:$B,B23,Daily!$A:$A,E23)+N(J23))</f>
        <v/>
      </c>
      <c r="M23" s="3">
        <f>IF(K23="","",K23*SUMIFS(Daily!$G:$G,Daily!$B:$B,B23,Daily!$A:$A,E23))</f>
        <v/>
      </c>
      <c r="N23" s="3">
        <f>IF(K23="","",K23*SUMIFS(Daily!$H:$H,Daily!$B:$B,B23,Daily!$A:$A,E23))</f>
        <v/>
      </c>
      <c r="O23" s="3">
        <f>IF(OR(M23="",F23=0),"",M23/F23*10000)</f>
        <v/>
      </c>
      <c r="P23" s="8" t="n"/>
      <c r="Q23" s="8" t="n"/>
      <c r="R23" s="6">
        <f>IF(OR(F23="",F23=0),"",N(I23)/F23)</f>
        <v/>
      </c>
      <c r="S23" s="3">
        <f>IF(OR(F23="",F23=0),"",(N(H23)+N(Q23))/F23*1000)</f>
        <v/>
      </c>
    </row>
    <row r="24">
      <c r="A24" s="8" t="n"/>
      <c r="B24" s="8" t="n"/>
      <c r="C24" s="8" t="n"/>
      <c r="D24" s="8" t="n"/>
      <c r="E24" s="9" t="n"/>
      <c r="F24" s="8" t="n"/>
      <c r="G24" s="8" t="n"/>
      <c r="H24" s="8" t="n"/>
      <c r="I24" s="8" t="n"/>
      <c r="J24" s="8" t="n"/>
      <c r="K24" s="10">
        <f>IF(OR(F24="",SUMIFS($F:$F,$B:$B,B24,$E:$E,E24)=0),"",IF(SUMIFS($I:$I,$B:$B,B24,$E:$E,E24)&gt;0,N(I24)/SUMIFS($I:$I,$B:$B,B24,$E:$E,E24),F24/SUMIFS($F:$F,$B:$B,B24,$E:$E,E24)))</f>
        <v/>
      </c>
      <c r="L24" s="3">
        <f>IF(K24="","",K24*SUMIFS(Daily!$D:$D,Daily!$B:$B,B24,Daily!$A:$A,E24)+N(J24))</f>
        <v/>
      </c>
      <c r="M24" s="3">
        <f>IF(K24="","",K24*SUMIFS(Daily!$G:$G,Daily!$B:$B,B24,Daily!$A:$A,E24))</f>
        <v/>
      </c>
      <c r="N24" s="3">
        <f>IF(K24="","",K24*SUMIFS(Daily!$H:$H,Daily!$B:$B,B24,Daily!$A:$A,E24))</f>
        <v/>
      </c>
      <c r="O24" s="3">
        <f>IF(OR(M24="",F24=0),"",M24/F24*10000)</f>
        <v/>
      </c>
      <c r="P24" s="8" t="n"/>
      <c r="Q24" s="8" t="n"/>
      <c r="R24" s="6">
        <f>IF(OR(F24="",F24=0),"",N(I24)/F24)</f>
        <v/>
      </c>
      <c r="S24" s="3">
        <f>IF(OR(F24="",F24=0),"",(N(H24)+N(Q24))/F24*1000)</f>
        <v/>
      </c>
    </row>
    <row r="25">
      <c r="A25" s="8" t="n"/>
      <c r="B25" s="8" t="n"/>
      <c r="C25" s="8" t="n"/>
      <c r="D25" s="8" t="n"/>
      <c r="E25" s="9" t="n"/>
      <c r="F25" s="8" t="n"/>
      <c r="G25" s="8" t="n"/>
      <c r="H25" s="8" t="n"/>
      <c r="I25" s="8" t="n"/>
      <c r="J25" s="8" t="n"/>
      <c r="K25" s="10">
        <f>IF(OR(F25="",SUMIFS($F:$F,$B:$B,B25,$E:$E,E25)=0),"",IF(SUMIFS($I:$I,$B:$B,B25,$E:$E,E25)&gt;0,N(I25)/SUMIFS($I:$I,$B:$B,B25,$E:$E,E25),F25/SUMIFS($F:$F,$B:$B,B25,$E:$E,E25)))</f>
        <v/>
      </c>
      <c r="L25" s="3">
        <f>IF(K25="","",K25*SUMIFS(Daily!$D:$D,Daily!$B:$B,B25,Daily!$A:$A,E25)+N(J25))</f>
        <v/>
      </c>
      <c r="M25" s="3">
        <f>IF(K25="","",K25*SUMIFS(Daily!$G:$G,Daily!$B:$B,B25,Daily!$A:$A,E25))</f>
        <v/>
      </c>
      <c r="N25" s="3">
        <f>IF(K25="","",K25*SUMIFS(Daily!$H:$H,Daily!$B:$B,B25,Daily!$A:$A,E25))</f>
        <v/>
      </c>
      <c r="O25" s="3">
        <f>IF(OR(M25="",F25=0),"",M25/F25*10000)</f>
        <v/>
      </c>
      <c r="P25" s="8" t="n"/>
      <c r="Q25" s="8" t="n"/>
      <c r="R25" s="6">
        <f>IF(OR(F25="",F25=0),"",N(I25)/F25)</f>
        <v/>
      </c>
      <c r="S25" s="3">
        <f>IF(OR(F25="",F25=0),"",(N(H25)+N(Q25))/F25*1000)</f>
        <v/>
      </c>
    </row>
    <row r="26">
      <c r="A26" s="8" t="n"/>
      <c r="B26" s="8" t="n"/>
      <c r="C26" s="8" t="n"/>
      <c r="D26" s="8" t="n"/>
      <c r="E26" s="9" t="n"/>
      <c r="F26" s="8" t="n"/>
      <c r="G26" s="8" t="n"/>
      <c r="H26" s="8" t="n"/>
      <c r="I26" s="8" t="n"/>
      <c r="J26" s="8" t="n"/>
      <c r="K26" s="10">
        <f>IF(OR(F26="",SUMIFS($F:$F,$B:$B,B26,$E:$E,E26)=0),"",IF(SUMIFS($I:$I,$B:$B,B26,$E:$E,E26)&gt;0,N(I26)/SUMIFS($I:$I,$B:$B,B26,$E:$E,E26),F26/SUMIFS($F:$F,$B:$B,B26,$E:$E,E26)))</f>
        <v/>
      </c>
      <c r="L26" s="3">
        <f>IF(K26="","",K26*SUMIFS(Daily!$D:$D,Daily!$B:$B,B26,Daily!$A:$A,E26)+N(J26))</f>
        <v/>
      </c>
      <c r="M26" s="3">
        <f>IF(K26="","",K26*SUMIFS(Daily!$G:$G,Daily!$B:$B,B26,Daily!$A:$A,E26))</f>
        <v/>
      </c>
      <c r="N26" s="3">
        <f>IF(K26="","",K26*SUMIFS(Daily!$H:$H,Daily!$B:$B,B26,Daily!$A:$A,E26))</f>
        <v/>
      </c>
      <c r="O26" s="3">
        <f>IF(OR(M26="",F26=0),"",M26/F26*10000)</f>
        <v/>
      </c>
      <c r="P26" s="8" t="n"/>
      <c r="Q26" s="8" t="n"/>
      <c r="R26" s="6">
        <f>IF(OR(F26="",F26=0),"",N(I26)/F26)</f>
        <v/>
      </c>
      <c r="S26" s="3">
        <f>IF(OR(F26="",F26=0),"",(N(H26)+N(Q26))/F26*1000)</f>
        <v/>
      </c>
    </row>
    <row r="27">
      <c r="A27" s="8" t="n"/>
      <c r="B27" s="8" t="n"/>
      <c r="C27" s="8" t="n"/>
      <c r="D27" s="8" t="n"/>
      <c r="E27" s="9" t="n"/>
      <c r="F27" s="8" t="n"/>
      <c r="G27" s="8" t="n"/>
      <c r="H27" s="8" t="n"/>
      <c r="I27" s="8" t="n"/>
      <c r="J27" s="8" t="n"/>
      <c r="K27" s="10">
        <f>IF(OR(F27="",SUMIFS($F:$F,$B:$B,B27,$E:$E,E27)=0),"",IF(SUMIFS($I:$I,$B:$B,B27,$E:$E,E27)&gt;0,N(I27)/SUMIFS($I:$I,$B:$B,B27,$E:$E,E27),F27/SUMIFS($F:$F,$B:$B,B27,$E:$E,E27)))</f>
        <v/>
      </c>
      <c r="L27" s="3">
        <f>IF(K27="","",K27*SUMIFS(Daily!$D:$D,Daily!$B:$B,B27,Daily!$A:$A,E27)+N(J27))</f>
        <v/>
      </c>
      <c r="M27" s="3">
        <f>IF(K27="","",K27*SUMIFS(Daily!$G:$G,Daily!$B:$B,B27,Daily!$A:$A,E27))</f>
        <v/>
      </c>
      <c r="N27" s="3">
        <f>IF(K27="","",K27*SUMIFS(Daily!$H:$H,Daily!$B:$B,B27,Daily!$A:$A,E27))</f>
        <v/>
      </c>
      <c r="O27" s="3">
        <f>IF(OR(M27="",F27=0),"",M27/F27*10000)</f>
        <v/>
      </c>
      <c r="P27" s="8" t="n"/>
      <c r="Q27" s="8" t="n"/>
      <c r="R27" s="6">
        <f>IF(OR(F27="",F27=0),"",N(I27)/F27)</f>
        <v/>
      </c>
      <c r="S27" s="3">
        <f>IF(OR(F27="",F27=0),"",(N(H27)+N(Q27))/F27*1000)</f>
        <v/>
      </c>
    </row>
    <row r="28">
      <c r="A28" s="8" t="n"/>
      <c r="B28" s="8" t="n"/>
      <c r="C28" s="8" t="n"/>
      <c r="D28" s="8" t="n"/>
      <c r="E28" s="9" t="n"/>
      <c r="F28" s="8" t="n"/>
      <c r="G28" s="8" t="n"/>
      <c r="H28" s="8" t="n"/>
      <c r="I28" s="8" t="n"/>
      <c r="J28" s="8" t="n"/>
      <c r="K28" s="10">
        <f>IF(OR(F28="",SUMIFS($F:$F,$B:$B,B28,$E:$E,E28)=0),"",IF(SUMIFS($I:$I,$B:$B,B28,$E:$E,E28)&gt;0,N(I28)/SUMIFS($I:$I,$B:$B,B28,$E:$E,E28),F28/SUMIFS($F:$F,$B:$B,B28,$E:$E,E28)))</f>
        <v/>
      </c>
      <c r="L28" s="3">
        <f>IF(K28="","",K28*SUMIFS(Daily!$D:$D,Daily!$B:$B,B28,Daily!$A:$A,E28)+N(J28))</f>
        <v/>
      </c>
      <c r="M28" s="3">
        <f>IF(K28="","",K28*SUMIFS(Daily!$G:$G,Daily!$B:$B,B28,Daily!$A:$A,E28))</f>
        <v/>
      </c>
      <c r="N28" s="3">
        <f>IF(K28="","",K28*SUMIFS(Daily!$H:$H,Daily!$B:$B,B28,Daily!$A:$A,E28))</f>
        <v/>
      </c>
      <c r="O28" s="3">
        <f>IF(OR(M28="",F28=0),"",M28/F28*10000)</f>
        <v/>
      </c>
      <c r="P28" s="8" t="n"/>
      <c r="Q28" s="8" t="n"/>
      <c r="R28" s="6">
        <f>IF(OR(F28="",F28=0),"",N(I28)/F28)</f>
        <v/>
      </c>
      <c r="S28" s="3">
        <f>IF(OR(F28="",F28=0),"",(N(H28)+N(Q28))/F28*1000)</f>
        <v/>
      </c>
    </row>
    <row r="29">
      <c r="A29" s="8" t="n"/>
      <c r="B29" s="8" t="n"/>
      <c r="C29" s="8" t="n"/>
      <c r="D29" s="8" t="n"/>
      <c r="E29" s="9" t="n"/>
      <c r="F29" s="8" t="n"/>
      <c r="G29" s="8" t="n"/>
      <c r="H29" s="8" t="n"/>
      <c r="I29" s="8" t="n"/>
      <c r="J29" s="8" t="n"/>
      <c r="K29" s="10">
        <f>IF(OR(F29="",SUMIFS($F:$F,$B:$B,B29,$E:$E,E29)=0),"",IF(SUMIFS($I:$I,$B:$B,B29,$E:$E,E29)&gt;0,N(I29)/SUMIFS($I:$I,$B:$B,B29,$E:$E,E29),F29/SUMIFS($F:$F,$B:$B,B29,$E:$E,E29)))</f>
        <v/>
      </c>
      <c r="L29" s="3">
        <f>IF(K29="","",K29*SUMIFS(Daily!$D:$D,Daily!$B:$B,B29,Daily!$A:$A,E29)+N(J29))</f>
        <v/>
      </c>
      <c r="M29" s="3">
        <f>IF(K29="","",K29*SUMIFS(Daily!$G:$G,Daily!$B:$B,B29,Daily!$A:$A,E29))</f>
        <v/>
      </c>
      <c r="N29" s="3">
        <f>IF(K29="","",K29*SUMIFS(Daily!$H:$H,Daily!$B:$B,B29,Daily!$A:$A,E29))</f>
        <v/>
      </c>
      <c r="O29" s="3">
        <f>IF(OR(M29="",F29=0),"",M29/F29*10000)</f>
        <v/>
      </c>
      <c r="P29" s="8" t="n"/>
      <c r="Q29" s="8" t="n"/>
      <c r="R29" s="6">
        <f>IF(OR(F29="",F29=0),"",N(I29)/F29)</f>
        <v/>
      </c>
      <c r="S29" s="3">
        <f>IF(OR(F29="",F29=0),"",(N(H29)+N(Q29))/F29*1000)</f>
        <v/>
      </c>
    </row>
    <row r="30">
      <c r="A30" s="8" t="n"/>
      <c r="B30" s="8" t="n"/>
      <c r="C30" s="8" t="n"/>
      <c r="D30" s="8" t="n"/>
      <c r="E30" s="9" t="n"/>
      <c r="F30" s="8" t="n"/>
      <c r="G30" s="8" t="n"/>
      <c r="H30" s="8" t="n"/>
      <c r="I30" s="8" t="n"/>
      <c r="J30" s="8" t="n"/>
      <c r="K30" s="10">
        <f>IF(OR(F30="",SUMIFS($F:$F,$B:$B,B30,$E:$E,E30)=0),"",IF(SUMIFS($I:$I,$B:$B,B30,$E:$E,E30)&gt;0,N(I30)/SUMIFS($I:$I,$B:$B,B30,$E:$E,E30),F30/SUMIFS($F:$F,$B:$B,B30,$E:$E,E30)))</f>
        <v/>
      </c>
      <c r="L30" s="3">
        <f>IF(K30="","",K30*SUMIFS(Daily!$D:$D,Daily!$B:$B,B30,Daily!$A:$A,E30)+N(J30))</f>
        <v/>
      </c>
      <c r="M30" s="3">
        <f>IF(K30="","",K30*SUMIFS(Daily!$G:$G,Daily!$B:$B,B30,Daily!$A:$A,E30))</f>
        <v/>
      </c>
      <c r="N30" s="3">
        <f>IF(K30="","",K30*SUMIFS(Daily!$H:$H,Daily!$B:$B,B30,Daily!$A:$A,E30))</f>
        <v/>
      </c>
      <c r="O30" s="3">
        <f>IF(OR(M30="",F30=0),"",M30/F30*10000)</f>
        <v/>
      </c>
      <c r="P30" s="8" t="n"/>
      <c r="Q30" s="8" t="n"/>
      <c r="R30" s="6">
        <f>IF(OR(F30="",F30=0),"",N(I30)/F30)</f>
        <v/>
      </c>
      <c r="S30" s="3">
        <f>IF(OR(F30="",F30=0),"",(N(H30)+N(Q30))/F30*1000)</f>
        <v/>
      </c>
    </row>
    <row r="31">
      <c r="A31" s="8" t="n"/>
      <c r="B31" s="8" t="n"/>
      <c r="C31" s="8" t="n"/>
      <c r="D31" s="8" t="n"/>
      <c r="E31" s="9" t="n"/>
      <c r="F31" s="8" t="n"/>
      <c r="G31" s="8" t="n"/>
      <c r="H31" s="8" t="n"/>
      <c r="I31" s="8" t="n"/>
      <c r="J31" s="8" t="n"/>
      <c r="K31" s="10">
        <f>IF(OR(F31="",SUMIFS($F:$F,$B:$B,B31,$E:$E,E31)=0),"",IF(SUMIFS($I:$I,$B:$B,B31,$E:$E,E31)&gt;0,N(I31)/SUMIFS($I:$I,$B:$B,B31,$E:$E,E31),F31/SUMIFS($F:$F,$B:$B,B31,$E:$E,E31)))</f>
        <v/>
      </c>
      <c r="L31" s="3">
        <f>IF(K31="","",K31*SUMIFS(Daily!$D:$D,Daily!$B:$B,B31,Daily!$A:$A,E31)+N(J31))</f>
        <v/>
      </c>
      <c r="M31" s="3">
        <f>IF(K31="","",K31*SUMIFS(Daily!$G:$G,Daily!$B:$B,B31,Daily!$A:$A,E31))</f>
        <v/>
      </c>
      <c r="N31" s="3">
        <f>IF(K31="","",K31*SUMIFS(Daily!$H:$H,Daily!$B:$B,B31,Daily!$A:$A,E31))</f>
        <v/>
      </c>
      <c r="O31" s="3">
        <f>IF(OR(M31="",F31=0),"",M31/F31*10000)</f>
        <v/>
      </c>
      <c r="P31" s="8" t="n"/>
      <c r="Q31" s="8" t="n"/>
      <c r="R31" s="6">
        <f>IF(OR(F31="",F31=0),"",N(I31)/F31)</f>
        <v/>
      </c>
      <c r="S31" s="3">
        <f>IF(OR(F31="",F31=0),"",(N(H31)+N(Q31))/F31*1000)</f>
        <v/>
      </c>
    </row>
    <row r="32">
      <c r="A32" s="8" t="n"/>
      <c r="B32" s="8" t="n"/>
      <c r="C32" s="8" t="n"/>
      <c r="D32" s="8" t="n"/>
      <c r="E32" s="9" t="n"/>
      <c r="F32" s="8" t="n"/>
      <c r="G32" s="8" t="n"/>
      <c r="H32" s="8" t="n"/>
      <c r="I32" s="8" t="n"/>
      <c r="J32" s="8" t="n"/>
      <c r="K32" s="10">
        <f>IF(OR(F32="",SUMIFS($F:$F,$B:$B,B32,$E:$E,E32)=0),"",IF(SUMIFS($I:$I,$B:$B,B32,$E:$E,E32)&gt;0,N(I32)/SUMIFS($I:$I,$B:$B,B32,$E:$E,E32),F32/SUMIFS($F:$F,$B:$B,B32,$E:$E,E32)))</f>
        <v/>
      </c>
      <c r="L32" s="3">
        <f>IF(K32="","",K32*SUMIFS(Daily!$D:$D,Daily!$B:$B,B32,Daily!$A:$A,E32)+N(J32))</f>
        <v/>
      </c>
      <c r="M32" s="3">
        <f>IF(K32="","",K32*SUMIFS(Daily!$G:$G,Daily!$B:$B,B32,Daily!$A:$A,E32))</f>
        <v/>
      </c>
      <c r="N32" s="3">
        <f>IF(K32="","",K32*SUMIFS(Daily!$H:$H,Daily!$B:$B,B32,Daily!$A:$A,E32))</f>
        <v/>
      </c>
      <c r="O32" s="3">
        <f>IF(OR(M32="",F32=0),"",M32/F32*10000)</f>
        <v/>
      </c>
      <c r="P32" s="8" t="n"/>
      <c r="Q32" s="8" t="n"/>
      <c r="R32" s="6">
        <f>IF(OR(F32="",F32=0),"",N(I32)/F32)</f>
        <v/>
      </c>
      <c r="S32" s="3">
        <f>IF(OR(F32="",F32=0),"",(N(H32)+N(Q32))/F32*1000)</f>
        <v/>
      </c>
    </row>
    <row r="33">
      <c r="A33" s="8" t="n"/>
      <c r="B33" s="8" t="n"/>
      <c r="C33" s="8" t="n"/>
      <c r="D33" s="8" t="n"/>
      <c r="E33" s="9" t="n"/>
      <c r="F33" s="8" t="n"/>
      <c r="G33" s="8" t="n"/>
      <c r="H33" s="8" t="n"/>
      <c r="I33" s="8" t="n"/>
      <c r="J33" s="8" t="n"/>
      <c r="K33" s="10">
        <f>IF(OR(F33="",SUMIFS($F:$F,$B:$B,B33,$E:$E,E33)=0),"",IF(SUMIFS($I:$I,$B:$B,B33,$E:$E,E33)&gt;0,N(I33)/SUMIFS($I:$I,$B:$B,B33,$E:$E,E33),F33/SUMIFS($F:$F,$B:$B,B33,$E:$E,E33)))</f>
        <v/>
      </c>
      <c r="L33" s="3">
        <f>IF(K33="","",K33*SUMIFS(Daily!$D:$D,Daily!$B:$B,B33,Daily!$A:$A,E33)+N(J33))</f>
        <v/>
      </c>
      <c r="M33" s="3">
        <f>IF(K33="","",K33*SUMIFS(Daily!$G:$G,Daily!$B:$B,B33,Daily!$A:$A,E33))</f>
        <v/>
      </c>
      <c r="N33" s="3">
        <f>IF(K33="","",K33*SUMIFS(Daily!$H:$H,Daily!$B:$B,B33,Daily!$A:$A,E33))</f>
        <v/>
      </c>
      <c r="O33" s="3">
        <f>IF(OR(M33="",F33=0),"",M33/F33*10000)</f>
        <v/>
      </c>
      <c r="P33" s="8" t="n"/>
      <c r="Q33" s="8" t="n"/>
      <c r="R33" s="6">
        <f>IF(OR(F33="",F33=0),"",N(I33)/F33)</f>
        <v/>
      </c>
      <c r="S33" s="3">
        <f>IF(OR(F33="",F33=0),"",(N(H33)+N(Q33))/F33*1000)</f>
        <v/>
      </c>
    </row>
    <row r="34">
      <c r="A34" s="8" t="n"/>
      <c r="B34" s="8" t="n"/>
      <c r="C34" s="8" t="n"/>
      <c r="D34" s="8" t="n"/>
      <c r="E34" s="9" t="n"/>
      <c r="F34" s="8" t="n"/>
      <c r="G34" s="8" t="n"/>
      <c r="H34" s="8" t="n"/>
      <c r="I34" s="8" t="n"/>
      <c r="J34" s="8" t="n"/>
      <c r="K34" s="10">
        <f>IF(OR(F34="",SUMIFS($F:$F,$B:$B,B34,$E:$E,E34)=0),"",IF(SUMIFS($I:$I,$B:$B,B34,$E:$E,E34)&gt;0,N(I34)/SUMIFS($I:$I,$B:$B,B34,$E:$E,E34),F34/SUMIFS($F:$F,$B:$B,B34,$E:$E,E34)))</f>
        <v/>
      </c>
      <c r="L34" s="3">
        <f>IF(K34="","",K34*SUMIFS(Daily!$D:$D,Daily!$B:$B,B34,Daily!$A:$A,E34)+N(J34))</f>
        <v/>
      </c>
      <c r="M34" s="3">
        <f>IF(K34="","",K34*SUMIFS(Daily!$G:$G,Daily!$B:$B,B34,Daily!$A:$A,E34))</f>
        <v/>
      </c>
      <c r="N34" s="3">
        <f>IF(K34="","",K34*SUMIFS(Daily!$H:$H,Daily!$B:$B,B34,Daily!$A:$A,E34))</f>
        <v/>
      </c>
      <c r="O34" s="3">
        <f>IF(OR(M34="",F34=0),"",M34/F34*10000)</f>
        <v/>
      </c>
      <c r="P34" s="8" t="n"/>
      <c r="Q34" s="8" t="n"/>
      <c r="R34" s="6">
        <f>IF(OR(F34="",F34=0),"",N(I34)/F34)</f>
        <v/>
      </c>
      <c r="S34" s="3">
        <f>IF(OR(F34="",F34=0),"",(N(H34)+N(Q34))/F34*1000)</f>
        <v/>
      </c>
    </row>
    <row r="35">
      <c r="A35" s="8" t="n"/>
      <c r="B35" s="8" t="n"/>
      <c r="C35" s="8" t="n"/>
      <c r="D35" s="8" t="n"/>
      <c r="E35" s="9" t="n"/>
      <c r="F35" s="8" t="n"/>
      <c r="G35" s="8" t="n"/>
      <c r="H35" s="8" t="n"/>
      <c r="I35" s="8" t="n"/>
      <c r="J35" s="8" t="n"/>
      <c r="K35" s="10">
        <f>IF(OR(F35="",SUMIFS($F:$F,$B:$B,B35,$E:$E,E35)=0),"",IF(SUMIFS($I:$I,$B:$B,B35,$E:$E,E35)&gt;0,N(I35)/SUMIFS($I:$I,$B:$B,B35,$E:$E,E35),F35/SUMIFS($F:$F,$B:$B,B35,$E:$E,E35)))</f>
        <v/>
      </c>
      <c r="L35" s="3">
        <f>IF(K35="","",K35*SUMIFS(Daily!$D:$D,Daily!$B:$B,B35,Daily!$A:$A,E35)+N(J35))</f>
        <v/>
      </c>
      <c r="M35" s="3">
        <f>IF(K35="","",K35*SUMIFS(Daily!$G:$G,Daily!$B:$B,B35,Daily!$A:$A,E35))</f>
        <v/>
      </c>
      <c r="N35" s="3">
        <f>IF(K35="","",K35*SUMIFS(Daily!$H:$H,Daily!$B:$B,B35,Daily!$A:$A,E35))</f>
        <v/>
      </c>
      <c r="O35" s="3">
        <f>IF(OR(M35="",F35=0),"",M35/F35*10000)</f>
        <v/>
      </c>
      <c r="P35" s="8" t="n"/>
      <c r="Q35" s="8" t="n"/>
      <c r="R35" s="6">
        <f>IF(OR(F35="",F35=0),"",N(I35)/F35)</f>
        <v/>
      </c>
      <c r="S35" s="3">
        <f>IF(OR(F35="",F35=0),"",(N(H35)+N(Q35))/F35*1000)</f>
        <v/>
      </c>
    </row>
    <row r="36">
      <c r="A36" s="8" t="n"/>
      <c r="B36" s="8" t="n"/>
      <c r="C36" s="8" t="n"/>
      <c r="D36" s="8" t="n"/>
      <c r="E36" s="9" t="n"/>
      <c r="F36" s="8" t="n"/>
      <c r="G36" s="8" t="n"/>
      <c r="H36" s="8" t="n"/>
      <c r="I36" s="8" t="n"/>
      <c r="J36" s="8" t="n"/>
      <c r="K36" s="10">
        <f>IF(OR(F36="",SUMIFS($F:$F,$B:$B,B36,$E:$E,E36)=0),"",IF(SUMIFS($I:$I,$B:$B,B36,$E:$E,E36)&gt;0,N(I36)/SUMIFS($I:$I,$B:$B,B36,$E:$E,E36),F36/SUMIFS($F:$F,$B:$B,B36,$E:$E,E36)))</f>
        <v/>
      </c>
      <c r="L36" s="3">
        <f>IF(K36="","",K36*SUMIFS(Daily!$D:$D,Daily!$B:$B,B36,Daily!$A:$A,E36)+N(J36))</f>
        <v/>
      </c>
      <c r="M36" s="3">
        <f>IF(K36="","",K36*SUMIFS(Daily!$G:$G,Daily!$B:$B,B36,Daily!$A:$A,E36))</f>
        <v/>
      </c>
      <c r="N36" s="3">
        <f>IF(K36="","",K36*SUMIFS(Daily!$H:$H,Daily!$B:$B,B36,Daily!$A:$A,E36))</f>
        <v/>
      </c>
      <c r="O36" s="3">
        <f>IF(OR(M36="",F36=0),"",M36/F36*10000)</f>
        <v/>
      </c>
      <c r="P36" s="8" t="n"/>
      <c r="Q36" s="8" t="n"/>
      <c r="R36" s="6">
        <f>IF(OR(F36="",F36=0),"",N(I36)/F36)</f>
        <v/>
      </c>
      <c r="S36" s="3">
        <f>IF(OR(F36="",F36=0),"",(N(H36)+N(Q36))/F36*1000)</f>
        <v/>
      </c>
    </row>
    <row r="37">
      <c r="A37" s="8" t="n"/>
      <c r="B37" s="8" t="n"/>
      <c r="C37" s="8" t="n"/>
      <c r="D37" s="8" t="n"/>
      <c r="E37" s="9" t="n"/>
      <c r="F37" s="8" t="n"/>
      <c r="G37" s="8" t="n"/>
      <c r="H37" s="8" t="n"/>
      <c r="I37" s="8" t="n"/>
      <c r="J37" s="8" t="n"/>
      <c r="K37" s="10">
        <f>IF(OR(F37="",SUMIFS($F:$F,$B:$B,B37,$E:$E,E37)=0),"",IF(SUMIFS($I:$I,$B:$B,B37,$E:$E,E37)&gt;0,N(I37)/SUMIFS($I:$I,$B:$B,B37,$E:$E,E37),F37/SUMIFS($F:$F,$B:$B,B37,$E:$E,E37)))</f>
        <v/>
      </c>
      <c r="L37" s="3">
        <f>IF(K37="","",K37*SUMIFS(Daily!$D:$D,Daily!$B:$B,B37,Daily!$A:$A,E37)+N(J37))</f>
        <v/>
      </c>
      <c r="M37" s="3">
        <f>IF(K37="","",K37*SUMIFS(Daily!$G:$G,Daily!$B:$B,B37,Daily!$A:$A,E37))</f>
        <v/>
      </c>
      <c r="N37" s="3">
        <f>IF(K37="","",K37*SUMIFS(Daily!$H:$H,Daily!$B:$B,B37,Daily!$A:$A,E37))</f>
        <v/>
      </c>
      <c r="O37" s="3">
        <f>IF(OR(M37="",F37=0),"",M37/F37*10000)</f>
        <v/>
      </c>
      <c r="P37" s="8" t="n"/>
      <c r="Q37" s="8" t="n"/>
      <c r="R37" s="6">
        <f>IF(OR(F37="",F37=0),"",N(I37)/F37)</f>
        <v/>
      </c>
      <c r="S37" s="3">
        <f>IF(OR(F37="",F37=0),"",(N(H37)+N(Q37))/F37*1000)</f>
        <v/>
      </c>
    </row>
    <row r="38">
      <c r="A38" s="8" t="n"/>
      <c r="B38" s="8" t="n"/>
      <c r="C38" s="8" t="n"/>
      <c r="D38" s="8" t="n"/>
      <c r="E38" s="9" t="n"/>
      <c r="F38" s="8" t="n"/>
      <c r="G38" s="8" t="n"/>
      <c r="H38" s="8" t="n"/>
      <c r="I38" s="8" t="n"/>
      <c r="J38" s="8" t="n"/>
      <c r="K38" s="10">
        <f>IF(OR(F38="",SUMIFS($F:$F,$B:$B,B38,$E:$E,E38)=0),"",IF(SUMIFS($I:$I,$B:$B,B38,$E:$E,E38)&gt;0,N(I38)/SUMIFS($I:$I,$B:$B,B38,$E:$E,E38),F38/SUMIFS($F:$F,$B:$B,B38,$E:$E,E38)))</f>
        <v/>
      </c>
      <c r="L38" s="3">
        <f>IF(K38="","",K38*SUMIFS(Daily!$D:$D,Daily!$B:$B,B38,Daily!$A:$A,E38)+N(J38))</f>
        <v/>
      </c>
      <c r="M38" s="3">
        <f>IF(K38="","",K38*SUMIFS(Daily!$G:$G,Daily!$B:$B,B38,Daily!$A:$A,E38))</f>
        <v/>
      </c>
      <c r="N38" s="3">
        <f>IF(K38="","",K38*SUMIFS(Daily!$H:$H,Daily!$B:$B,B38,Daily!$A:$A,E38))</f>
        <v/>
      </c>
      <c r="O38" s="3">
        <f>IF(OR(M38="",F38=0),"",M38/F38*10000)</f>
        <v/>
      </c>
      <c r="P38" s="8" t="n"/>
      <c r="Q38" s="8" t="n"/>
      <c r="R38" s="6">
        <f>IF(OR(F38="",F38=0),"",N(I38)/F38)</f>
        <v/>
      </c>
      <c r="S38" s="3">
        <f>IF(OR(F38="",F38=0),"",(N(H38)+N(Q38))/F38*1000)</f>
        <v/>
      </c>
    </row>
    <row r="39">
      <c r="A39" s="8" t="n"/>
      <c r="B39" s="8" t="n"/>
      <c r="C39" s="8" t="n"/>
      <c r="D39" s="8" t="n"/>
      <c r="E39" s="9" t="n"/>
      <c r="F39" s="8" t="n"/>
      <c r="G39" s="8" t="n"/>
      <c r="H39" s="8" t="n"/>
      <c r="I39" s="8" t="n"/>
      <c r="J39" s="8" t="n"/>
      <c r="K39" s="10">
        <f>IF(OR(F39="",SUMIFS($F:$F,$B:$B,B39,$E:$E,E39)=0),"",IF(SUMIFS($I:$I,$B:$B,B39,$E:$E,E39)&gt;0,N(I39)/SUMIFS($I:$I,$B:$B,B39,$E:$E,E39),F39/SUMIFS($F:$F,$B:$B,B39,$E:$E,E39)))</f>
        <v/>
      </c>
      <c r="L39" s="3">
        <f>IF(K39="","",K39*SUMIFS(Daily!$D:$D,Daily!$B:$B,B39,Daily!$A:$A,E39)+N(J39))</f>
        <v/>
      </c>
      <c r="M39" s="3">
        <f>IF(K39="","",K39*SUMIFS(Daily!$G:$G,Daily!$B:$B,B39,Daily!$A:$A,E39))</f>
        <v/>
      </c>
      <c r="N39" s="3">
        <f>IF(K39="","",K39*SUMIFS(Daily!$H:$H,Daily!$B:$B,B39,Daily!$A:$A,E39))</f>
        <v/>
      </c>
      <c r="O39" s="3">
        <f>IF(OR(M39="",F39=0),"",M39/F39*10000)</f>
        <v/>
      </c>
      <c r="P39" s="8" t="n"/>
      <c r="Q39" s="8" t="n"/>
      <c r="R39" s="6">
        <f>IF(OR(F39="",F39=0),"",N(I39)/F39)</f>
        <v/>
      </c>
      <c r="S39" s="3">
        <f>IF(OR(F39="",F39=0),"",(N(H39)+N(Q39))/F39*1000)</f>
        <v/>
      </c>
    </row>
    <row r="40">
      <c r="A40" s="8" t="n"/>
      <c r="B40" s="8" t="n"/>
      <c r="C40" s="8" t="n"/>
      <c r="D40" s="8" t="n"/>
      <c r="E40" s="9" t="n"/>
      <c r="F40" s="8" t="n"/>
      <c r="G40" s="8" t="n"/>
      <c r="H40" s="8" t="n"/>
      <c r="I40" s="8" t="n"/>
      <c r="J40" s="8" t="n"/>
      <c r="K40" s="10">
        <f>IF(OR(F40="",SUMIFS($F:$F,$B:$B,B40,$E:$E,E40)=0),"",IF(SUMIFS($I:$I,$B:$B,B40,$E:$E,E40)&gt;0,N(I40)/SUMIFS($I:$I,$B:$B,B40,$E:$E,E40),F40/SUMIFS($F:$F,$B:$B,B40,$E:$E,E40)))</f>
        <v/>
      </c>
      <c r="L40" s="3">
        <f>IF(K40="","",K40*SUMIFS(Daily!$D:$D,Daily!$B:$B,B40,Daily!$A:$A,E40)+N(J40))</f>
        <v/>
      </c>
      <c r="M40" s="3">
        <f>IF(K40="","",K40*SUMIFS(Daily!$G:$G,Daily!$B:$B,B40,Daily!$A:$A,E40))</f>
        <v/>
      </c>
      <c r="N40" s="3">
        <f>IF(K40="","",K40*SUMIFS(Daily!$H:$H,Daily!$B:$B,B40,Daily!$A:$A,E40))</f>
        <v/>
      </c>
      <c r="O40" s="3">
        <f>IF(OR(M40="",F40=0),"",M40/F40*10000)</f>
        <v/>
      </c>
      <c r="P40" s="8" t="n"/>
      <c r="Q40" s="8" t="n"/>
      <c r="R40" s="6">
        <f>IF(OR(F40="",F40=0),"",N(I40)/F40)</f>
        <v/>
      </c>
      <c r="S40" s="3">
        <f>IF(OR(F40="",F40=0),"",(N(H40)+N(Q40))/F40*1000)</f>
        <v/>
      </c>
    </row>
    <row r="41">
      <c r="A41" s="8" t="n"/>
      <c r="B41" s="8" t="n"/>
      <c r="C41" s="8" t="n"/>
      <c r="D41" s="8" t="n"/>
      <c r="E41" s="9" t="n"/>
      <c r="F41" s="8" t="n"/>
      <c r="G41" s="8" t="n"/>
      <c r="H41" s="8" t="n"/>
      <c r="I41" s="8" t="n"/>
      <c r="J41" s="8" t="n"/>
      <c r="K41" s="10">
        <f>IF(OR(F41="",SUMIFS($F:$F,$B:$B,B41,$E:$E,E41)=0),"",IF(SUMIFS($I:$I,$B:$B,B41,$E:$E,E41)&gt;0,N(I41)/SUMIFS($I:$I,$B:$B,B41,$E:$E,E41),F41/SUMIFS($F:$F,$B:$B,B41,$E:$E,E41)))</f>
        <v/>
      </c>
      <c r="L41" s="3">
        <f>IF(K41="","",K41*SUMIFS(Daily!$D:$D,Daily!$B:$B,B41,Daily!$A:$A,E41)+N(J41))</f>
        <v/>
      </c>
      <c r="M41" s="3">
        <f>IF(K41="","",K41*SUMIFS(Daily!$G:$G,Daily!$B:$B,B41,Daily!$A:$A,E41))</f>
        <v/>
      </c>
      <c r="N41" s="3">
        <f>IF(K41="","",K41*SUMIFS(Daily!$H:$H,Daily!$B:$B,B41,Daily!$A:$A,E41))</f>
        <v/>
      </c>
      <c r="O41" s="3">
        <f>IF(OR(M41="",F41=0),"",M41/F41*10000)</f>
        <v/>
      </c>
      <c r="P41" s="8" t="n"/>
      <c r="Q41" s="8" t="n"/>
      <c r="R41" s="6">
        <f>IF(OR(F41="",F41=0),"",N(I41)/F41)</f>
        <v/>
      </c>
      <c r="S41" s="3">
        <f>IF(OR(F41="",F41=0),"",(N(H41)+N(Q41))/F41*1000)</f>
        <v/>
      </c>
    </row>
    <row r="42">
      <c r="A42" s="8" t="n"/>
      <c r="B42" s="8" t="n"/>
      <c r="C42" s="8" t="n"/>
      <c r="D42" s="8" t="n"/>
      <c r="E42" s="9" t="n"/>
      <c r="F42" s="8" t="n"/>
      <c r="G42" s="8" t="n"/>
      <c r="H42" s="8" t="n"/>
      <c r="I42" s="8" t="n"/>
      <c r="J42" s="8" t="n"/>
      <c r="K42" s="10">
        <f>IF(OR(F42="",SUMIFS($F:$F,$B:$B,B42,$E:$E,E42)=0),"",IF(SUMIFS($I:$I,$B:$B,B42,$E:$E,E42)&gt;0,N(I42)/SUMIFS($I:$I,$B:$B,B42,$E:$E,E42),F42/SUMIFS($F:$F,$B:$B,B42,$E:$E,E42)))</f>
        <v/>
      </c>
      <c r="L42" s="3">
        <f>IF(K42="","",K42*SUMIFS(Daily!$D:$D,Daily!$B:$B,B42,Daily!$A:$A,E42)+N(J42))</f>
        <v/>
      </c>
      <c r="M42" s="3">
        <f>IF(K42="","",K42*SUMIFS(Daily!$G:$G,Daily!$B:$B,B42,Daily!$A:$A,E42))</f>
        <v/>
      </c>
      <c r="N42" s="3">
        <f>IF(K42="","",K42*SUMIFS(Daily!$H:$H,Daily!$B:$B,B42,Daily!$A:$A,E42))</f>
        <v/>
      </c>
      <c r="O42" s="3">
        <f>IF(OR(M42="",F42=0),"",M42/F42*10000)</f>
        <v/>
      </c>
      <c r="P42" s="8" t="n"/>
      <c r="Q42" s="8" t="n"/>
      <c r="R42" s="6">
        <f>IF(OR(F42="",F42=0),"",N(I42)/F42)</f>
        <v/>
      </c>
      <c r="S42" s="3">
        <f>IF(OR(F42="",F42=0),"",(N(H42)+N(Q42))/F42*1000)</f>
        <v/>
      </c>
    </row>
    <row r="43">
      <c r="A43" s="8" t="n"/>
      <c r="B43" s="8" t="n"/>
      <c r="C43" s="8" t="n"/>
      <c r="D43" s="8" t="n"/>
      <c r="E43" s="9" t="n"/>
      <c r="F43" s="8" t="n"/>
      <c r="G43" s="8" t="n"/>
      <c r="H43" s="8" t="n"/>
      <c r="I43" s="8" t="n"/>
      <c r="J43" s="8" t="n"/>
      <c r="K43" s="10">
        <f>IF(OR(F43="",SUMIFS($F:$F,$B:$B,B43,$E:$E,E43)=0),"",IF(SUMIFS($I:$I,$B:$B,B43,$E:$E,E43)&gt;0,N(I43)/SUMIFS($I:$I,$B:$B,B43,$E:$E,E43),F43/SUMIFS($F:$F,$B:$B,B43,$E:$E,E43)))</f>
        <v/>
      </c>
      <c r="L43" s="3">
        <f>IF(K43="","",K43*SUMIFS(Daily!$D:$D,Daily!$B:$B,B43,Daily!$A:$A,E43)+N(J43))</f>
        <v/>
      </c>
      <c r="M43" s="3">
        <f>IF(K43="","",K43*SUMIFS(Daily!$G:$G,Daily!$B:$B,B43,Daily!$A:$A,E43))</f>
        <v/>
      </c>
      <c r="N43" s="3">
        <f>IF(K43="","",K43*SUMIFS(Daily!$H:$H,Daily!$B:$B,B43,Daily!$A:$A,E43))</f>
        <v/>
      </c>
      <c r="O43" s="3">
        <f>IF(OR(M43="",F43=0),"",M43/F43*10000)</f>
        <v/>
      </c>
      <c r="P43" s="8" t="n"/>
      <c r="Q43" s="8" t="n"/>
      <c r="R43" s="6">
        <f>IF(OR(F43="",F43=0),"",N(I43)/F43)</f>
        <v/>
      </c>
      <c r="S43" s="3">
        <f>IF(OR(F43="",F43=0),"",(N(H43)+N(Q43))/F43*1000)</f>
        <v/>
      </c>
    </row>
    <row r="44">
      <c r="A44" s="8" t="n"/>
      <c r="B44" s="8" t="n"/>
      <c r="C44" s="8" t="n"/>
      <c r="D44" s="8" t="n"/>
      <c r="E44" s="9" t="n"/>
      <c r="F44" s="8" t="n"/>
      <c r="G44" s="8" t="n"/>
      <c r="H44" s="8" t="n"/>
      <c r="I44" s="8" t="n"/>
      <c r="J44" s="8" t="n"/>
      <c r="K44" s="10">
        <f>IF(OR(F44="",SUMIFS($F:$F,$B:$B,B44,$E:$E,E44)=0),"",IF(SUMIFS($I:$I,$B:$B,B44,$E:$E,E44)&gt;0,N(I44)/SUMIFS($I:$I,$B:$B,B44,$E:$E,E44),F44/SUMIFS($F:$F,$B:$B,B44,$E:$E,E44)))</f>
        <v/>
      </c>
      <c r="L44" s="3">
        <f>IF(K44="","",K44*SUMIFS(Daily!$D:$D,Daily!$B:$B,B44,Daily!$A:$A,E44)+N(J44))</f>
        <v/>
      </c>
      <c r="M44" s="3">
        <f>IF(K44="","",K44*SUMIFS(Daily!$G:$G,Daily!$B:$B,B44,Daily!$A:$A,E44))</f>
        <v/>
      </c>
      <c r="N44" s="3">
        <f>IF(K44="","",K44*SUMIFS(Daily!$H:$H,Daily!$B:$B,B44,Daily!$A:$A,E44))</f>
        <v/>
      </c>
      <c r="O44" s="3">
        <f>IF(OR(M44="",F44=0),"",M44/F44*10000)</f>
        <v/>
      </c>
      <c r="P44" s="8" t="n"/>
      <c r="Q44" s="8" t="n"/>
      <c r="R44" s="6">
        <f>IF(OR(F44="",F44=0),"",N(I44)/F44)</f>
        <v/>
      </c>
      <c r="S44" s="3">
        <f>IF(OR(F44="",F44=0),"",(N(H44)+N(Q44))/F44*1000)</f>
        <v/>
      </c>
    </row>
    <row r="45">
      <c r="A45" s="8" t="n"/>
      <c r="B45" s="8" t="n"/>
      <c r="C45" s="8" t="n"/>
      <c r="D45" s="8" t="n"/>
      <c r="E45" s="9" t="n"/>
      <c r="F45" s="8" t="n"/>
      <c r="G45" s="8" t="n"/>
      <c r="H45" s="8" t="n"/>
      <c r="I45" s="8" t="n"/>
      <c r="J45" s="8" t="n"/>
      <c r="K45" s="10">
        <f>IF(OR(F45="",SUMIFS($F:$F,$B:$B,B45,$E:$E,E45)=0),"",IF(SUMIFS($I:$I,$B:$B,B45,$E:$E,E45)&gt;0,N(I45)/SUMIFS($I:$I,$B:$B,B45,$E:$E,E45),F45/SUMIFS($F:$F,$B:$B,B45,$E:$E,E45)))</f>
        <v/>
      </c>
      <c r="L45" s="3">
        <f>IF(K45="","",K45*SUMIFS(Daily!$D:$D,Daily!$B:$B,B45,Daily!$A:$A,E45)+N(J45))</f>
        <v/>
      </c>
      <c r="M45" s="3">
        <f>IF(K45="","",K45*SUMIFS(Daily!$G:$G,Daily!$B:$B,B45,Daily!$A:$A,E45))</f>
        <v/>
      </c>
      <c r="N45" s="3">
        <f>IF(K45="","",K45*SUMIFS(Daily!$H:$H,Daily!$B:$B,B45,Daily!$A:$A,E45))</f>
        <v/>
      </c>
      <c r="O45" s="3">
        <f>IF(OR(M45="",F45=0),"",M45/F45*10000)</f>
        <v/>
      </c>
      <c r="P45" s="8" t="n"/>
      <c r="Q45" s="8" t="n"/>
      <c r="R45" s="6">
        <f>IF(OR(F45="",F45=0),"",N(I45)/F45)</f>
        <v/>
      </c>
      <c r="S45" s="3">
        <f>IF(OR(F45="",F45=0),"",(N(H45)+N(Q45))/F45*1000)</f>
        <v/>
      </c>
    </row>
    <row r="46">
      <c r="A46" s="8" t="n"/>
      <c r="B46" s="8" t="n"/>
      <c r="C46" s="8" t="n"/>
      <c r="D46" s="8" t="n"/>
      <c r="E46" s="9" t="n"/>
      <c r="F46" s="8" t="n"/>
      <c r="G46" s="8" t="n"/>
      <c r="H46" s="8" t="n"/>
      <c r="I46" s="8" t="n"/>
      <c r="J46" s="8" t="n"/>
      <c r="K46" s="10">
        <f>IF(OR(F46="",SUMIFS($F:$F,$B:$B,B46,$E:$E,E46)=0),"",IF(SUMIFS($I:$I,$B:$B,B46,$E:$E,E46)&gt;0,N(I46)/SUMIFS($I:$I,$B:$B,B46,$E:$E,E46),F46/SUMIFS($F:$F,$B:$B,B46,$E:$E,E46)))</f>
        <v/>
      </c>
      <c r="L46" s="3">
        <f>IF(K46="","",K46*SUMIFS(Daily!$D:$D,Daily!$B:$B,B46,Daily!$A:$A,E46)+N(J46))</f>
        <v/>
      </c>
      <c r="M46" s="3">
        <f>IF(K46="","",K46*SUMIFS(Daily!$G:$G,Daily!$B:$B,B46,Daily!$A:$A,E46))</f>
        <v/>
      </c>
      <c r="N46" s="3">
        <f>IF(K46="","",K46*SUMIFS(Daily!$H:$H,Daily!$B:$B,B46,Daily!$A:$A,E46))</f>
        <v/>
      </c>
      <c r="O46" s="3">
        <f>IF(OR(M46="",F46=0),"",M46/F46*10000)</f>
        <v/>
      </c>
      <c r="P46" s="8" t="n"/>
      <c r="Q46" s="8" t="n"/>
      <c r="R46" s="6">
        <f>IF(OR(F46="",F46=0),"",N(I46)/F46)</f>
        <v/>
      </c>
      <c r="S46" s="3">
        <f>IF(OR(F46="",F46=0),"",(N(H46)+N(Q46))/F46*1000)</f>
        <v/>
      </c>
    </row>
    <row r="47">
      <c r="A47" s="8" t="n"/>
      <c r="B47" s="8" t="n"/>
      <c r="C47" s="8" t="n"/>
      <c r="D47" s="8" t="n"/>
      <c r="E47" s="9" t="n"/>
      <c r="F47" s="8" t="n"/>
      <c r="G47" s="8" t="n"/>
      <c r="H47" s="8" t="n"/>
      <c r="I47" s="8" t="n"/>
      <c r="J47" s="8" t="n"/>
      <c r="K47" s="10">
        <f>IF(OR(F47="",SUMIFS($F:$F,$B:$B,B47,$E:$E,E47)=0),"",IF(SUMIFS($I:$I,$B:$B,B47,$E:$E,E47)&gt;0,N(I47)/SUMIFS($I:$I,$B:$B,B47,$E:$E,E47),F47/SUMIFS($F:$F,$B:$B,B47,$E:$E,E47)))</f>
        <v/>
      </c>
      <c r="L47" s="3">
        <f>IF(K47="","",K47*SUMIFS(Daily!$D:$D,Daily!$B:$B,B47,Daily!$A:$A,E47)+N(J47))</f>
        <v/>
      </c>
      <c r="M47" s="3">
        <f>IF(K47="","",K47*SUMIFS(Daily!$G:$G,Daily!$B:$B,B47,Daily!$A:$A,E47))</f>
        <v/>
      </c>
      <c r="N47" s="3">
        <f>IF(K47="","",K47*SUMIFS(Daily!$H:$H,Daily!$B:$B,B47,Daily!$A:$A,E47))</f>
        <v/>
      </c>
      <c r="O47" s="3">
        <f>IF(OR(M47="",F47=0),"",M47/F47*10000)</f>
        <v/>
      </c>
      <c r="P47" s="8" t="n"/>
      <c r="Q47" s="8" t="n"/>
      <c r="R47" s="6">
        <f>IF(OR(F47="",F47=0),"",N(I47)/F47)</f>
        <v/>
      </c>
      <c r="S47" s="3">
        <f>IF(OR(F47="",F47=0),"",(N(H47)+N(Q47))/F47*1000)</f>
        <v/>
      </c>
    </row>
    <row r="48">
      <c r="A48" s="8" t="n"/>
      <c r="B48" s="8" t="n"/>
      <c r="C48" s="8" t="n"/>
      <c r="D48" s="8" t="n"/>
      <c r="E48" s="9" t="n"/>
      <c r="F48" s="8" t="n"/>
      <c r="G48" s="8" t="n"/>
      <c r="H48" s="8" t="n"/>
      <c r="I48" s="8" t="n"/>
      <c r="J48" s="8" t="n"/>
      <c r="K48" s="10">
        <f>IF(OR(F48="",SUMIFS($F:$F,$B:$B,B48,$E:$E,E48)=0),"",IF(SUMIFS($I:$I,$B:$B,B48,$E:$E,E48)&gt;0,N(I48)/SUMIFS($I:$I,$B:$B,B48,$E:$E,E48),F48/SUMIFS($F:$F,$B:$B,B48,$E:$E,E48)))</f>
        <v/>
      </c>
      <c r="L48" s="3">
        <f>IF(K48="","",K48*SUMIFS(Daily!$D:$D,Daily!$B:$B,B48,Daily!$A:$A,E48)+N(J48))</f>
        <v/>
      </c>
      <c r="M48" s="3">
        <f>IF(K48="","",K48*SUMIFS(Daily!$G:$G,Daily!$B:$B,B48,Daily!$A:$A,E48))</f>
        <v/>
      </c>
      <c r="N48" s="3">
        <f>IF(K48="","",K48*SUMIFS(Daily!$H:$H,Daily!$B:$B,B48,Daily!$A:$A,E48))</f>
        <v/>
      </c>
      <c r="O48" s="3">
        <f>IF(OR(M48="",F48=0),"",M48/F48*10000)</f>
        <v/>
      </c>
      <c r="P48" s="8" t="n"/>
      <c r="Q48" s="8" t="n"/>
      <c r="R48" s="6">
        <f>IF(OR(F48="",F48=0),"",N(I48)/F48)</f>
        <v/>
      </c>
      <c r="S48" s="3">
        <f>IF(OR(F48="",F48=0),"",(N(H48)+N(Q48))/F48*1000)</f>
        <v/>
      </c>
    </row>
    <row r="49">
      <c r="A49" s="8" t="n"/>
      <c r="B49" s="8" t="n"/>
      <c r="C49" s="8" t="n"/>
      <c r="D49" s="8" t="n"/>
      <c r="E49" s="9" t="n"/>
      <c r="F49" s="8" t="n"/>
      <c r="G49" s="8" t="n"/>
      <c r="H49" s="8" t="n"/>
      <c r="I49" s="8" t="n"/>
      <c r="J49" s="8" t="n"/>
      <c r="K49" s="10">
        <f>IF(OR(F49="",SUMIFS($F:$F,$B:$B,B49,$E:$E,E49)=0),"",IF(SUMIFS($I:$I,$B:$B,B49,$E:$E,E49)&gt;0,N(I49)/SUMIFS($I:$I,$B:$B,B49,$E:$E,E49),F49/SUMIFS($F:$F,$B:$B,B49,$E:$E,E49)))</f>
        <v/>
      </c>
      <c r="L49" s="3">
        <f>IF(K49="","",K49*SUMIFS(Daily!$D:$D,Daily!$B:$B,B49,Daily!$A:$A,E49)+N(J49))</f>
        <v/>
      </c>
      <c r="M49" s="3">
        <f>IF(K49="","",K49*SUMIFS(Daily!$G:$G,Daily!$B:$B,B49,Daily!$A:$A,E49))</f>
        <v/>
      </c>
      <c r="N49" s="3">
        <f>IF(K49="","",K49*SUMIFS(Daily!$H:$H,Daily!$B:$B,B49,Daily!$A:$A,E49))</f>
        <v/>
      </c>
      <c r="O49" s="3">
        <f>IF(OR(M49="",F49=0),"",M49/F49*10000)</f>
        <v/>
      </c>
      <c r="P49" s="8" t="n"/>
      <c r="Q49" s="8" t="n"/>
      <c r="R49" s="6">
        <f>IF(OR(F49="",F49=0),"",N(I49)/F49)</f>
        <v/>
      </c>
      <c r="S49" s="3">
        <f>IF(OR(F49="",F49=0),"",(N(H49)+N(Q49))/F49*1000)</f>
        <v/>
      </c>
    </row>
    <row r="50">
      <c r="A50" s="8" t="n"/>
      <c r="B50" s="8" t="n"/>
      <c r="C50" s="8" t="n"/>
      <c r="D50" s="8" t="n"/>
      <c r="E50" s="9" t="n"/>
      <c r="F50" s="8" t="n"/>
      <c r="G50" s="8" t="n"/>
      <c r="H50" s="8" t="n"/>
      <c r="I50" s="8" t="n"/>
      <c r="J50" s="8" t="n"/>
      <c r="K50" s="10">
        <f>IF(OR(F50="",SUMIFS($F:$F,$B:$B,B50,$E:$E,E50)=0),"",IF(SUMIFS($I:$I,$B:$B,B50,$E:$E,E50)&gt;0,N(I50)/SUMIFS($I:$I,$B:$B,B50,$E:$E,E50),F50/SUMIFS($F:$F,$B:$B,B50,$E:$E,E50)))</f>
        <v/>
      </c>
      <c r="L50" s="3">
        <f>IF(K50="","",K50*SUMIFS(Daily!$D:$D,Daily!$B:$B,B50,Daily!$A:$A,E50)+N(J50))</f>
        <v/>
      </c>
      <c r="M50" s="3">
        <f>IF(K50="","",K50*SUMIFS(Daily!$G:$G,Daily!$B:$B,B50,Daily!$A:$A,E50))</f>
        <v/>
      </c>
      <c r="N50" s="3">
        <f>IF(K50="","",K50*SUMIFS(Daily!$H:$H,Daily!$B:$B,B50,Daily!$A:$A,E50))</f>
        <v/>
      </c>
      <c r="O50" s="3">
        <f>IF(OR(M50="",F50=0),"",M50/F50*10000)</f>
        <v/>
      </c>
      <c r="P50" s="8" t="n"/>
      <c r="Q50" s="8" t="n"/>
      <c r="R50" s="6">
        <f>IF(OR(F50="",F50=0),"",N(I50)/F50)</f>
        <v/>
      </c>
      <c r="S50" s="3">
        <f>IF(OR(F50="",F50=0),"",(N(H50)+N(Q50))/F50*1000)</f>
        <v/>
      </c>
    </row>
    <row r="51">
      <c r="A51" s="8" t="n"/>
      <c r="B51" s="8" t="n"/>
      <c r="C51" s="8" t="n"/>
      <c r="D51" s="8" t="n"/>
      <c r="E51" s="9" t="n"/>
      <c r="F51" s="8" t="n"/>
      <c r="G51" s="8" t="n"/>
      <c r="H51" s="8" t="n"/>
      <c r="I51" s="8" t="n"/>
      <c r="J51" s="8" t="n"/>
      <c r="K51" s="10">
        <f>IF(OR(F51="",SUMIFS($F:$F,$B:$B,B51,$E:$E,E51)=0),"",IF(SUMIFS($I:$I,$B:$B,B51,$E:$E,E51)&gt;0,N(I51)/SUMIFS($I:$I,$B:$B,B51,$E:$E,E51),F51/SUMIFS($F:$F,$B:$B,B51,$E:$E,E51)))</f>
        <v/>
      </c>
      <c r="L51" s="3">
        <f>IF(K51="","",K51*SUMIFS(Daily!$D:$D,Daily!$B:$B,B51,Daily!$A:$A,E51)+N(J51))</f>
        <v/>
      </c>
      <c r="M51" s="3">
        <f>IF(K51="","",K51*SUMIFS(Daily!$G:$G,Daily!$B:$B,B51,Daily!$A:$A,E51))</f>
        <v/>
      </c>
      <c r="N51" s="3">
        <f>IF(K51="","",K51*SUMIFS(Daily!$H:$H,Daily!$B:$B,B51,Daily!$A:$A,E51))</f>
        <v/>
      </c>
      <c r="O51" s="3">
        <f>IF(OR(M51="",F51=0),"",M51/F51*10000)</f>
        <v/>
      </c>
      <c r="P51" s="8" t="n"/>
      <c r="Q51" s="8" t="n"/>
      <c r="R51" s="6">
        <f>IF(OR(F51="",F51=0),"",N(I51)/F51)</f>
        <v/>
      </c>
      <c r="S51" s="3">
        <f>IF(OR(F51="",F51=0),"",(N(H51)+N(Q51))/F51*1000)</f>
        <v/>
      </c>
    </row>
    <row r="52">
      <c r="A52" s="8" t="n"/>
      <c r="B52" s="8" t="n"/>
      <c r="C52" s="8" t="n"/>
      <c r="D52" s="8" t="n"/>
      <c r="E52" s="9" t="n"/>
      <c r="F52" s="8" t="n"/>
      <c r="G52" s="8" t="n"/>
      <c r="H52" s="8" t="n"/>
      <c r="I52" s="8" t="n"/>
      <c r="J52" s="8" t="n"/>
      <c r="K52" s="10">
        <f>IF(OR(F52="",SUMIFS($F:$F,$B:$B,B52,$E:$E,E52)=0),"",IF(SUMIFS($I:$I,$B:$B,B52,$E:$E,E52)&gt;0,N(I52)/SUMIFS($I:$I,$B:$B,B52,$E:$E,E52),F52/SUMIFS($F:$F,$B:$B,B52,$E:$E,E52)))</f>
        <v/>
      </c>
      <c r="L52" s="3">
        <f>IF(K52="","",K52*SUMIFS(Daily!$D:$D,Daily!$B:$B,B52,Daily!$A:$A,E52)+N(J52))</f>
        <v/>
      </c>
      <c r="M52" s="3">
        <f>IF(K52="","",K52*SUMIFS(Daily!$G:$G,Daily!$B:$B,B52,Daily!$A:$A,E52))</f>
        <v/>
      </c>
      <c r="N52" s="3">
        <f>IF(K52="","",K52*SUMIFS(Daily!$H:$H,Daily!$B:$B,B52,Daily!$A:$A,E52))</f>
        <v/>
      </c>
      <c r="O52" s="3">
        <f>IF(OR(M52="",F52=0),"",M52/F52*10000)</f>
        <v/>
      </c>
      <c r="P52" s="8" t="n"/>
      <c r="Q52" s="8" t="n"/>
      <c r="R52" s="6">
        <f>IF(OR(F52="",F52=0),"",N(I52)/F52)</f>
        <v/>
      </c>
      <c r="S52" s="3">
        <f>IF(OR(F52="",F52=0),"",(N(H52)+N(Q52))/F52*1000)</f>
        <v/>
      </c>
    </row>
    <row r="53">
      <c r="A53" s="8" t="n"/>
      <c r="B53" s="8" t="n"/>
      <c r="C53" s="8" t="n"/>
      <c r="D53" s="8" t="n"/>
      <c r="E53" s="9" t="n"/>
      <c r="F53" s="8" t="n"/>
      <c r="G53" s="8" t="n"/>
      <c r="H53" s="8" t="n"/>
      <c r="I53" s="8" t="n"/>
      <c r="J53" s="8" t="n"/>
      <c r="K53" s="10">
        <f>IF(OR(F53="",SUMIFS($F:$F,$B:$B,B53,$E:$E,E53)=0),"",IF(SUMIFS($I:$I,$B:$B,B53,$E:$E,E53)&gt;0,N(I53)/SUMIFS($I:$I,$B:$B,B53,$E:$E,E53),F53/SUMIFS($F:$F,$B:$B,B53,$E:$E,E53)))</f>
        <v/>
      </c>
      <c r="L53" s="3">
        <f>IF(K53="","",K53*SUMIFS(Daily!$D:$D,Daily!$B:$B,B53,Daily!$A:$A,E53)+N(J53))</f>
        <v/>
      </c>
      <c r="M53" s="3">
        <f>IF(K53="","",K53*SUMIFS(Daily!$G:$G,Daily!$B:$B,B53,Daily!$A:$A,E53))</f>
        <v/>
      </c>
      <c r="N53" s="3">
        <f>IF(K53="","",K53*SUMIFS(Daily!$H:$H,Daily!$B:$B,B53,Daily!$A:$A,E53))</f>
        <v/>
      </c>
      <c r="O53" s="3">
        <f>IF(OR(M53="",F53=0),"",M53/F53*10000)</f>
        <v/>
      </c>
      <c r="P53" s="8" t="n"/>
      <c r="Q53" s="8" t="n"/>
      <c r="R53" s="6">
        <f>IF(OR(F53="",F53=0),"",N(I53)/F53)</f>
        <v/>
      </c>
      <c r="S53" s="3">
        <f>IF(OR(F53="",F53=0),"",(N(H53)+N(Q53))/F53*1000)</f>
        <v/>
      </c>
    </row>
    <row r="54">
      <c r="A54" s="8" t="n"/>
      <c r="B54" s="8" t="n"/>
      <c r="C54" s="8" t="n"/>
      <c r="D54" s="8" t="n"/>
      <c r="E54" s="9" t="n"/>
      <c r="F54" s="8" t="n"/>
      <c r="G54" s="8" t="n"/>
      <c r="H54" s="8" t="n"/>
      <c r="I54" s="8" t="n"/>
      <c r="J54" s="8" t="n"/>
      <c r="K54" s="10">
        <f>IF(OR(F54="",SUMIFS($F:$F,$B:$B,B54,$E:$E,E54)=0),"",IF(SUMIFS($I:$I,$B:$B,B54,$E:$E,E54)&gt;0,N(I54)/SUMIFS($I:$I,$B:$B,B54,$E:$E,E54),F54/SUMIFS($F:$F,$B:$B,B54,$E:$E,E54)))</f>
        <v/>
      </c>
      <c r="L54" s="3">
        <f>IF(K54="","",K54*SUMIFS(Daily!$D:$D,Daily!$B:$B,B54,Daily!$A:$A,E54)+N(J54))</f>
        <v/>
      </c>
      <c r="M54" s="3">
        <f>IF(K54="","",K54*SUMIFS(Daily!$G:$G,Daily!$B:$B,B54,Daily!$A:$A,E54))</f>
        <v/>
      </c>
      <c r="N54" s="3">
        <f>IF(K54="","",K54*SUMIFS(Daily!$H:$H,Daily!$B:$B,B54,Daily!$A:$A,E54))</f>
        <v/>
      </c>
      <c r="O54" s="3">
        <f>IF(OR(M54="",F54=0),"",M54/F54*10000)</f>
        <v/>
      </c>
      <c r="P54" s="8" t="n"/>
      <c r="Q54" s="8" t="n"/>
      <c r="R54" s="6">
        <f>IF(OR(F54="",F54=0),"",N(I54)/F54)</f>
        <v/>
      </c>
      <c r="S54" s="3">
        <f>IF(OR(F54="",F54=0),"",(N(H54)+N(Q54))/F54*1000)</f>
        <v/>
      </c>
    </row>
    <row r="55">
      <c r="A55" s="8" t="n"/>
      <c r="B55" s="8" t="n"/>
      <c r="C55" s="8" t="n"/>
      <c r="D55" s="8" t="n"/>
      <c r="E55" s="9" t="n"/>
      <c r="F55" s="8" t="n"/>
      <c r="G55" s="8" t="n"/>
      <c r="H55" s="8" t="n"/>
      <c r="I55" s="8" t="n"/>
      <c r="J55" s="8" t="n"/>
      <c r="K55" s="10">
        <f>IF(OR(F55="",SUMIFS($F:$F,$B:$B,B55,$E:$E,E55)=0),"",IF(SUMIFS($I:$I,$B:$B,B55,$E:$E,E55)&gt;0,N(I55)/SUMIFS($I:$I,$B:$B,B55,$E:$E,E55),F55/SUMIFS($F:$F,$B:$B,B55,$E:$E,E55)))</f>
        <v/>
      </c>
      <c r="L55" s="3">
        <f>IF(K55="","",K55*SUMIFS(Daily!$D:$D,Daily!$B:$B,B55,Daily!$A:$A,E55)+N(J55))</f>
        <v/>
      </c>
      <c r="M55" s="3">
        <f>IF(K55="","",K55*SUMIFS(Daily!$G:$G,Daily!$B:$B,B55,Daily!$A:$A,E55))</f>
        <v/>
      </c>
      <c r="N55" s="3">
        <f>IF(K55="","",K55*SUMIFS(Daily!$H:$H,Daily!$B:$B,B55,Daily!$A:$A,E55))</f>
        <v/>
      </c>
      <c r="O55" s="3">
        <f>IF(OR(M55="",F55=0),"",M55/F55*10000)</f>
        <v/>
      </c>
      <c r="P55" s="8" t="n"/>
      <c r="Q55" s="8" t="n"/>
      <c r="R55" s="6">
        <f>IF(OR(F55="",F55=0),"",N(I55)/F55)</f>
        <v/>
      </c>
      <c r="S55" s="3">
        <f>IF(OR(F55="",F55=0),"",(N(H55)+N(Q55))/F55*1000)</f>
        <v/>
      </c>
    </row>
    <row r="56">
      <c r="A56" s="8" t="n"/>
      <c r="B56" s="8" t="n"/>
      <c r="C56" s="8" t="n"/>
      <c r="D56" s="8" t="n"/>
      <c r="E56" s="9" t="n"/>
      <c r="F56" s="8" t="n"/>
      <c r="G56" s="8" t="n"/>
      <c r="H56" s="8" t="n"/>
      <c r="I56" s="8" t="n"/>
      <c r="J56" s="8" t="n"/>
      <c r="K56" s="10">
        <f>IF(OR(F56="",SUMIFS($F:$F,$B:$B,B56,$E:$E,E56)=0),"",IF(SUMIFS($I:$I,$B:$B,B56,$E:$E,E56)&gt;0,N(I56)/SUMIFS($I:$I,$B:$B,B56,$E:$E,E56),F56/SUMIFS($F:$F,$B:$B,B56,$E:$E,E56)))</f>
        <v/>
      </c>
      <c r="L56" s="3">
        <f>IF(K56="","",K56*SUMIFS(Daily!$D:$D,Daily!$B:$B,B56,Daily!$A:$A,E56)+N(J56))</f>
        <v/>
      </c>
      <c r="M56" s="3">
        <f>IF(K56="","",K56*SUMIFS(Daily!$G:$G,Daily!$B:$B,B56,Daily!$A:$A,E56))</f>
        <v/>
      </c>
      <c r="N56" s="3">
        <f>IF(K56="","",K56*SUMIFS(Daily!$H:$H,Daily!$B:$B,B56,Daily!$A:$A,E56))</f>
        <v/>
      </c>
      <c r="O56" s="3">
        <f>IF(OR(M56="",F56=0),"",M56/F56*10000)</f>
        <v/>
      </c>
      <c r="P56" s="8" t="n"/>
      <c r="Q56" s="8" t="n"/>
      <c r="R56" s="6">
        <f>IF(OR(F56="",F56=0),"",N(I56)/F56)</f>
        <v/>
      </c>
      <c r="S56" s="3">
        <f>IF(OR(F56="",F56=0),"",(N(H56)+N(Q56))/F56*1000)</f>
        <v/>
      </c>
    </row>
    <row r="57">
      <c r="A57" s="8" t="n"/>
      <c r="B57" s="8" t="n"/>
      <c r="C57" s="8" t="n"/>
      <c r="D57" s="8" t="n"/>
      <c r="E57" s="9" t="n"/>
      <c r="F57" s="8" t="n"/>
      <c r="G57" s="8" t="n"/>
      <c r="H57" s="8" t="n"/>
      <c r="I57" s="8" t="n"/>
      <c r="J57" s="8" t="n"/>
      <c r="K57" s="10">
        <f>IF(OR(F57="",SUMIFS($F:$F,$B:$B,B57,$E:$E,E57)=0),"",IF(SUMIFS($I:$I,$B:$B,B57,$E:$E,E57)&gt;0,N(I57)/SUMIFS($I:$I,$B:$B,B57,$E:$E,E57),F57/SUMIFS($F:$F,$B:$B,B57,$E:$E,E57)))</f>
        <v/>
      </c>
      <c r="L57" s="3">
        <f>IF(K57="","",K57*SUMIFS(Daily!$D:$D,Daily!$B:$B,B57,Daily!$A:$A,E57)+N(J57))</f>
        <v/>
      </c>
      <c r="M57" s="3">
        <f>IF(K57="","",K57*SUMIFS(Daily!$G:$G,Daily!$B:$B,B57,Daily!$A:$A,E57))</f>
        <v/>
      </c>
      <c r="N57" s="3">
        <f>IF(K57="","",K57*SUMIFS(Daily!$H:$H,Daily!$B:$B,B57,Daily!$A:$A,E57))</f>
        <v/>
      </c>
      <c r="O57" s="3">
        <f>IF(OR(M57="",F57=0),"",M57/F57*10000)</f>
        <v/>
      </c>
      <c r="P57" s="8" t="n"/>
      <c r="Q57" s="8" t="n"/>
      <c r="R57" s="6">
        <f>IF(OR(F57="",F57=0),"",N(I57)/F57)</f>
        <v/>
      </c>
      <c r="S57" s="3">
        <f>IF(OR(F57="",F57=0),"",(N(H57)+N(Q57))/F57*1000)</f>
        <v/>
      </c>
    </row>
    <row r="58">
      <c r="A58" s="8" t="n"/>
      <c r="B58" s="8" t="n"/>
      <c r="C58" s="8" t="n"/>
      <c r="D58" s="8" t="n"/>
      <c r="E58" s="9" t="n"/>
      <c r="F58" s="8" t="n"/>
      <c r="G58" s="8" t="n"/>
      <c r="H58" s="8" t="n"/>
      <c r="I58" s="8" t="n"/>
      <c r="J58" s="8" t="n"/>
      <c r="K58" s="10">
        <f>IF(OR(F58="",SUMIFS($F:$F,$B:$B,B58,$E:$E,E58)=0),"",IF(SUMIFS($I:$I,$B:$B,B58,$E:$E,E58)&gt;0,N(I58)/SUMIFS($I:$I,$B:$B,B58,$E:$E,E58),F58/SUMIFS($F:$F,$B:$B,B58,$E:$E,E58)))</f>
        <v/>
      </c>
      <c r="L58" s="3">
        <f>IF(K58="","",K58*SUMIFS(Daily!$D:$D,Daily!$B:$B,B58,Daily!$A:$A,E58)+N(J58))</f>
        <v/>
      </c>
      <c r="M58" s="3">
        <f>IF(K58="","",K58*SUMIFS(Daily!$G:$G,Daily!$B:$B,B58,Daily!$A:$A,E58))</f>
        <v/>
      </c>
      <c r="N58" s="3">
        <f>IF(K58="","",K58*SUMIFS(Daily!$H:$H,Daily!$B:$B,B58,Daily!$A:$A,E58))</f>
        <v/>
      </c>
      <c r="O58" s="3">
        <f>IF(OR(M58="",F58=0),"",M58/F58*10000)</f>
        <v/>
      </c>
      <c r="P58" s="8" t="n"/>
      <c r="Q58" s="8" t="n"/>
      <c r="R58" s="6">
        <f>IF(OR(F58="",F58=0),"",N(I58)/F58)</f>
        <v/>
      </c>
      <c r="S58" s="3">
        <f>IF(OR(F58="",F58=0),"",(N(H58)+N(Q58))/F58*1000)</f>
        <v/>
      </c>
    </row>
    <row r="59">
      <c r="A59" s="8" t="n"/>
      <c r="B59" s="8" t="n"/>
      <c r="C59" s="8" t="n"/>
      <c r="D59" s="8" t="n"/>
      <c r="E59" s="9" t="n"/>
      <c r="F59" s="8" t="n"/>
      <c r="G59" s="8" t="n"/>
      <c r="H59" s="8" t="n"/>
      <c r="I59" s="8" t="n"/>
      <c r="J59" s="8" t="n"/>
      <c r="K59" s="10">
        <f>IF(OR(F59="",SUMIFS($F:$F,$B:$B,B59,$E:$E,E59)=0),"",IF(SUMIFS($I:$I,$B:$B,B59,$E:$E,E59)&gt;0,N(I59)/SUMIFS($I:$I,$B:$B,B59,$E:$E,E59),F59/SUMIFS($F:$F,$B:$B,B59,$E:$E,E59)))</f>
        <v/>
      </c>
      <c r="L59" s="3">
        <f>IF(K59="","",K59*SUMIFS(Daily!$D:$D,Daily!$B:$B,B59,Daily!$A:$A,E59)+N(J59))</f>
        <v/>
      </c>
      <c r="M59" s="3">
        <f>IF(K59="","",K59*SUMIFS(Daily!$G:$G,Daily!$B:$B,B59,Daily!$A:$A,E59))</f>
        <v/>
      </c>
      <c r="N59" s="3">
        <f>IF(K59="","",K59*SUMIFS(Daily!$H:$H,Daily!$B:$B,B59,Daily!$A:$A,E59))</f>
        <v/>
      </c>
      <c r="O59" s="3">
        <f>IF(OR(M59="",F59=0),"",M59/F59*10000)</f>
        <v/>
      </c>
      <c r="P59" s="8" t="n"/>
      <c r="Q59" s="8" t="n"/>
      <c r="R59" s="6">
        <f>IF(OR(F59="",F59=0),"",N(I59)/F59)</f>
        <v/>
      </c>
      <c r="S59" s="3">
        <f>IF(OR(F59="",F59=0),"",(N(H59)+N(Q59))/F59*1000)</f>
        <v/>
      </c>
    </row>
    <row r="60">
      <c r="A60" s="8" t="n"/>
      <c r="B60" s="8" t="n"/>
      <c r="C60" s="8" t="n"/>
      <c r="D60" s="8" t="n"/>
      <c r="E60" s="9" t="n"/>
      <c r="F60" s="8" t="n"/>
      <c r="G60" s="8" t="n"/>
      <c r="H60" s="8" t="n"/>
      <c r="I60" s="8" t="n"/>
      <c r="J60" s="8" t="n"/>
      <c r="K60" s="10">
        <f>IF(OR(F60="",SUMIFS($F:$F,$B:$B,B60,$E:$E,E60)=0),"",IF(SUMIFS($I:$I,$B:$B,B60,$E:$E,E60)&gt;0,N(I60)/SUMIFS($I:$I,$B:$B,B60,$E:$E,E60),F60/SUMIFS($F:$F,$B:$B,B60,$E:$E,E60)))</f>
        <v/>
      </c>
      <c r="L60" s="3">
        <f>IF(K60="","",K60*SUMIFS(Daily!$D:$D,Daily!$B:$B,B60,Daily!$A:$A,E60)+N(J60))</f>
        <v/>
      </c>
      <c r="M60" s="3">
        <f>IF(K60="","",K60*SUMIFS(Daily!$G:$G,Daily!$B:$B,B60,Daily!$A:$A,E60))</f>
        <v/>
      </c>
      <c r="N60" s="3">
        <f>IF(K60="","",K60*SUMIFS(Daily!$H:$H,Daily!$B:$B,B60,Daily!$A:$A,E60))</f>
        <v/>
      </c>
      <c r="O60" s="3">
        <f>IF(OR(M60="",F60=0),"",M60/F60*10000)</f>
        <v/>
      </c>
      <c r="P60" s="8" t="n"/>
      <c r="Q60" s="8" t="n"/>
      <c r="R60" s="6">
        <f>IF(OR(F60="",F60=0),"",N(I60)/F60)</f>
        <v/>
      </c>
      <c r="S60" s="3">
        <f>IF(OR(F60="",F60=0),"",(N(H60)+N(Q60))/F60*1000)</f>
        <v/>
      </c>
    </row>
    <row r="61">
      <c r="A61" s="8" t="n"/>
      <c r="B61" s="8" t="n"/>
      <c r="C61" s="8" t="n"/>
      <c r="D61" s="8" t="n"/>
      <c r="E61" s="9" t="n"/>
      <c r="F61" s="8" t="n"/>
      <c r="G61" s="8" t="n"/>
      <c r="H61" s="8" t="n"/>
      <c r="I61" s="8" t="n"/>
      <c r="J61" s="8" t="n"/>
      <c r="K61" s="10">
        <f>IF(OR(F61="",SUMIFS($F:$F,$B:$B,B61,$E:$E,E61)=0),"",IF(SUMIFS($I:$I,$B:$B,B61,$E:$E,E61)&gt;0,N(I61)/SUMIFS($I:$I,$B:$B,B61,$E:$E,E61),F61/SUMIFS($F:$F,$B:$B,B61,$E:$E,E61)))</f>
        <v/>
      </c>
      <c r="L61" s="3">
        <f>IF(K61="","",K61*SUMIFS(Daily!$D:$D,Daily!$B:$B,B61,Daily!$A:$A,E61)+N(J61))</f>
        <v/>
      </c>
      <c r="M61" s="3">
        <f>IF(K61="","",K61*SUMIFS(Daily!$G:$G,Daily!$B:$B,B61,Daily!$A:$A,E61))</f>
        <v/>
      </c>
      <c r="N61" s="3">
        <f>IF(K61="","",K61*SUMIFS(Daily!$H:$H,Daily!$B:$B,B61,Daily!$A:$A,E61))</f>
        <v/>
      </c>
      <c r="O61" s="3">
        <f>IF(OR(M61="",F61=0),"",M61/F61*10000)</f>
        <v/>
      </c>
      <c r="P61" s="8" t="n"/>
      <c r="Q61" s="8" t="n"/>
      <c r="R61" s="6">
        <f>IF(OR(F61="",F61=0),"",N(I61)/F61)</f>
        <v/>
      </c>
      <c r="S61" s="3">
        <f>IF(OR(F61="",F61=0),"",(N(H61)+N(Q61))/F61*1000)</f>
        <v/>
      </c>
    </row>
    <row r="62">
      <c r="A62" s="8" t="n"/>
      <c r="B62" s="8" t="n"/>
      <c r="C62" s="8" t="n"/>
      <c r="D62" s="8" t="n"/>
      <c r="E62" s="9" t="n"/>
      <c r="F62" s="8" t="n"/>
      <c r="G62" s="8" t="n"/>
      <c r="H62" s="8" t="n"/>
      <c r="I62" s="8" t="n"/>
      <c r="J62" s="8" t="n"/>
      <c r="K62" s="10">
        <f>IF(OR(F62="",SUMIFS($F:$F,$B:$B,B62,$E:$E,E62)=0),"",IF(SUMIFS($I:$I,$B:$B,B62,$E:$E,E62)&gt;0,N(I62)/SUMIFS($I:$I,$B:$B,B62,$E:$E,E62),F62/SUMIFS($F:$F,$B:$B,B62,$E:$E,E62)))</f>
        <v/>
      </c>
      <c r="L62" s="3">
        <f>IF(K62="","",K62*SUMIFS(Daily!$D:$D,Daily!$B:$B,B62,Daily!$A:$A,E62)+N(J62))</f>
        <v/>
      </c>
      <c r="M62" s="3">
        <f>IF(K62="","",K62*SUMIFS(Daily!$G:$G,Daily!$B:$B,B62,Daily!$A:$A,E62))</f>
        <v/>
      </c>
      <c r="N62" s="3">
        <f>IF(K62="","",K62*SUMIFS(Daily!$H:$H,Daily!$B:$B,B62,Daily!$A:$A,E62))</f>
        <v/>
      </c>
      <c r="O62" s="3">
        <f>IF(OR(M62="",F62=0),"",M62/F62*10000)</f>
        <v/>
      </c>
      <c r="P62" s="8" t="n"/>
      <c r="Q62" s="8" t="n"/>
      <c r="R62" s="6">
        <f>IF(OR(F62="",F62=0),"",N(I62)/F62)</f>
        <v/>
      </c>
      <c r="S62" s="3">
        <f>IF(OR(F62="",F62=0),"",(N(H62)+N(Q62))/F62*1000)</f>
        <v/>
      </c>
    </row>
    <row r="63">
      <c r="A63" s="8" t="n"/>
      <c r="B63" s="8" t="n"/>
      <c r="C63" s="8" t="n"/>
      <c r="D63" s="8" t="n"/>
      <c r="E63" s="9" t="n"/>
      <c r="F63" s="8" t="n"/>
      <c r="G63" s="8" t="n"/>
      <c r="H63" s="8" t="n"/>
      <c r="I63" s="8" t="n"/>
      <c r="J63" s="8" t="n"/>
      <c r="K63" s="10">
        <f>IF(OR(F63="",SUMIFS($F:$F,$B:$B,B63,$E:$E,E63)=0),"",IF(SUMIFS($I:$I,$B:$B,B63,$E:$E,E63)&gt;0,N(I63)/SUMIFS($I:$I,$B:$B,B63,$E:$E,E63),F63/SUMIFS($F:$F,$B:$B,B63,$E:$E,E63)))</f>
        <v/>
      </c>
      <c r="L63" s="3">
        <f>IF(K63="","",K63*SUMIFS(Daily!$D:$D,Daily!$B:$B,B63,Daily!$A:$A,E63)+N(J63))</f>
        <v/>
      </c>
      <c r="M63" s="3">
        <f>IF(K63="","",K63*SUMIFS(Daily!$G:$G,Daily!$B:$B,B63,Daily!$A:$A,E63))</f>
        <v/>
      </c>
      <c r="N63" s="3">
        <f>IF(K63="","",K63*SUMIFS(Daily!$H:$H,Daily!$B:$B,B63,Daily!$A:$A,E63))</f>
        <v/>
      </c>
      <c r="O63" s="3">
        <f>IF(OR(M63="",F63=0),"",M63/F63*10000)</f>
        <v/>
      </c>
      <c r="P63" s="8" t="n"/>
      <c r="Q63" s="8" t="n"/>
      <c r="R63" s="6">
        <f>IF(OR(F63="",F63=0),"",N(I63)/F63)</f>
        <v/>
      </c>
      <c r="S63" s="3">
        <f>IF(OR(F63="",F63=0),"",(N(H63)+N(Q63))/F63*1000)</f>
        <v/>
      </c>
    </row>
    <row r="64">
      <c r="A64" s="8" t="n"/>
      <c r="B64" s="8" t="n"/>
      <c r="C64" s="8" t="n"/>
      <c r="D64" s="8" t="n"/>
      <c r="E64" s="9" t="n"/>
      <c r="F64" s="8" t="n"/>
      <c r="G64" s="8" t="n"/>
      <c r="H64" s="8" t="n"/>
      <c r="I64" s="8" t="n"/>
      <c r="J64" s="8" t="n"/>
      <c r="K64" s="10">
        <f>IF(OR(F64="",SUMIFS($F:$F,$B:$B,B64,$E:$E,E64)=0),"",IF(SUMIFS($I:$I,$B:$B,B64,$E:$E,E64)&gt;0,N(I64)/SUMIFS($I:$I,$B:$B,B64,$E:$E,E64),F64/SUMIFS($F:$F,$B:$B,B64,$E:$E,E64)))</f>
        <v/>
      </c>
      <c r="L64" s="3">
        <f>IF(K64="","",K64*SUMIFS(Daily!$D:$D,Daily!$B:$B,B64,Daily!$A:$A,E64)+N(J64))</f>
        <v/>
      </c>
      <c r="M64" s="3">
        <f>IF(K64="","",K64*SUMIFS(Daily!$G:$G,Daily!$B:$B,B64,Daily!$A:$A,E64))</f>
        <v/>
      </c>
      <c r="N64" s="3">
        <f>IF(K64="","",K64*SUMIFS(Daily!$H:$H,Daily!$B:$B,B64,Daily!$A:$A,E64))</f>
        <v/>
      </c>
      <c r="O64" s="3">
        <f>IF(OR(M64="",F64=0),"",M64/F64*10000)</f>
        <v/>
      </c>
      <c r="P64" s="8" t="n"/>
      <c r="Q64" s="8" t="n"/>
      <c r="R64" s="6">
        <f>IF(OR(F64="",F64=0),"",N(I64)/F64)</f>
        <v/>
      </c>
      <c r="S64" s="3">
        <f>IF(OR(F64="",F64=0),"",(N(H64)+N(Q64))/F64*1000)</f>
        <v/>
      </c>
    </row>
    <row r="65">
      <c r="A65" s="8" t="n"/>
      <c r="B65" s="8" t="n"/>
      <c r="C65" s="8" t="n"/>
      <c r="D65" s="8" t="n"/>
      <c r="E65" s="9" t="n"/>
      <c r="F65" s="8" t="n"/>
      <c r="G65" s="8" t="n"/>
      <c r="H65" s="8" t="n"/>
      <c r="I65" s="8" t="n"/>
      <c r="J65" s="8" t="n"/>
      <c r="K65" s="10">
        <f>IF(OR(F65="",SUMIFS($F:$F,$B:$B,B65,$E:$E,E65)=0),"",IF(SUMIFS($I:$I,$B:$B,B65,$E:$E,E65)&gt;0,N(I65)/SUMIFS($I:$I,$B:$B,B65,$E:$E,E65),F65/SUMIFS($F:$F,$B:$B,B65,$E:$E,E65)))</f>
        <v/>
      </c>
      <c r="L65" s="3">
        <f>IF(K65="","",K65*SUMIFS(Daily!$D:$D,Daily!$B:$B,B65,Daily!$A:$A,E65)+N(J65))</f>
        <v/>
      </c>
      <c r="M65" s="3">
        <f>IF(K65="","",K65*SUMIFS(Daily!$G:$G,Daily!$B:$B,B65,Daily!$A:$A,E65))</f>
        <v/>
      </c>
      <c r="N65" s="3">
        <f>IF(K65="","",K65*SUMIFS(Daily!$H:$H,Daily!$B:$B,B65,Daily!$A:$A,E65))</f>
        <v/>
      </c>
      <c r="O65" s="3">
        <f>IF(OR(M65="",F65=0),"",M65/F65*10000)</f>
        <v/>
      </c>
      <c r="P65" s="8" t="n"/>
      <c r="Q65" s="8" t="n"/>
      <c r="R65" s="6">
        <f>IF(OR(F65="",F65=0),"",N(I65)/F65)</f>
        <v/>
      </c>
      <c r="S65" s="3">
        <f>IF(OR(F65="",F65=0),"",(N(H65)+N(Q65))/F65*1000)</f>
        <v/>
      </c>
    </row>
    <row r="66">
      <c r="A66" s="8" t="n"/>
      <c r="B66" s="8" t="n"/>
      <c r="C66" s="8" t="n"/>
      <c r="D66" s="8" t="n"/>
      <c r="E66" s="9" t="n"/>
      <c r="F66" s="8" t="n"/>
      <c r="G66" s="8" t="n"/>
      <c r="H66" s="8" t="n"/>
      <c r="I66" s="8" t="n"/>
      <c r="J66" s="8" t="n"/>
      <c r="K66" s="10">
        <f>IF(OR(F66="",SUMIFS($F:$F,$B:$B,B66,$E:$E,E66)=0),"",IF(SUMIFS($I:$I,$B:$B,B66,$E:$E,E66)&gt;0,N(I66)/SUMIFS($I:$I,$B:$B,B66,$E:$E,E66),F66/SUMIFS($F:$F,$B:$B,B66,$E:$E,E66)))</f>
        <v/>
      </c>
      <c r="L66" s="3">
        <f>IF(K66="","",K66*SUMIFS(Daily!$D:$D,Daily!$B:$B,B66,Daily!$A:$A,E66)+N(J66))</f>
        <v/>
      </c>
      <c r="M66" s="3">
        <f>IF(K66="","",K66*SUMIFS(Daily!$G:$G,Daily!$B:$B,B66,Daily!$A:$A,E66))</f>
        <v/>
      </c>
      <c r="N66" s="3">
        <f>IF(K66="","",K66*SUMIFS(Daily!$H:$H,Daily!$B:$B,B66,Daily!$A:$A,E66))</f>
        <v/>
      </c>
      <c r="O66" s="3">
        <f>IF(OR(M66="",F66=0),"",M66/F66*10000)</f>
        <v/>
      </c>
      <c r="P66" s="8" t="n"/>
      <c r="Q66" s="8" t="n"/>
      <c r="R66" s="6">
        <f>IF(OR(F66="",F66=0),"",N(I66)/F66)</f>
        <v/>
      </c>
      <c r="S66" s="3">
        <f>IF(OR(F66="",F66=0),"",(N(H66)+N(Q66))/F66*1000)</f>
        <v/>
      </c>
    </row>
    <row r="67">
      <c r="A67" s="8" t="n"/>
      <c r="B67" s="8" t="n"/>
      <c r="C67" s="8" t="n"/>
      <c r="D67" s="8" t="n"/>
      <c r="E67" s="9" t="n"/>
      <c r="F67" s="8" t="n"/>
      <c r="G67" s="8" t="n"/>
      <c r="H67" s="8" t="n"/>
      <c r="I67" s="8" t="n"/>
      <c r="J67" s="8" t="n"/>
      <c r="K67" s="10">
        <f>IF(OR(F67="",SUMIFS($F:$F,$B:$B,B67,$E:$E,E67)=0),"",IF(SUMIFS($I:$I,$B:$B,B67,$E:$E,E67)&gt;0,N(I67)/SUMIFS($I:$I,$B:$B,B67,$E:$E,E67),F67/SUMIFS($F:$F,$B:$B,B67,$E:$E,E67)))</f>
        <v/>
      </c>
      <c r="L67" s="3">
        <f>IF(K67="","",K67*SUMIFS(Daily!$D:$D,Daily!$B:$B,B67,Daily!$A:$A,E67)+N(J67))</f>
        <v/>
      </c>
      <c r="M67" s="3">
        <f>IF(K67="","",K67*SUMIFS(Daily!$G:$G,Daily!$B:$B,B67,Daily!$A:$A,E67))</f>
        <v/>
      </c>
      <c r="N67" s="3">
        <f>IF(K67="","",K67*SUMIFS(Daily!$H:$H,Daily!$B:$B,B67,Daily!$A:$A,E67))</f>
        <v/>
      </c>
      <c r="O67" s="3">
        <f>IF(OR(M67="",F67=0),"",M67/F67*10000)</f>
        <v/>
      </c>
      <c r="P67" s="8" t="n"/>
      <c r="Q67" s="8" t="n"/>
      <c r="R67" s="6">
        <f>IF(OR(F67="",F67=0),"",N(I67)/F67)</f>
        <v/>
      </c>
      <c r="S67" s="3">
        <f>IF(OR(F67="",F67=0),"",(N(H67)+N(Q67))/F67*1000)</f>
        <v/>
      </c>
    </row>
    <row r="68">
      <c r="A68" s="8" t="n"/>
      <c r="B68" s="8" t="n"/>
      <c r="C68" s="8" t="n"/>
      <c r="D68" s="8" t="n"/>
      <c r="E68" s="9" t="n"/>
      <c r="F68" s="8" t="n"/>
      <c r="G68" s="8" t="n"/>
      <c r="H68" s="8" t="n"/>
      <c r="I68" s="8" t="n"/>
      <c r="J68" s="8" t="n"/>
      <c r="K68" s="10">
        <f>IF(OR(F68="",SUMIFS($F:$F,$B:$B,B68,$E:$E,E68)=0),"",IF(SUMIFS($I:$I,$B:$B,B68,$E:$E,E68)&gt;0,N(I68)/SUMIFS($I:$I,$B:$B,B68,$E:$E,E68),F68/SUMIFS($F:$F,$B:$B,B68,$E:$E,E68)))</f>
        <v/>
      </c>
      <c r="L68" s="3">
        <f>IF(K68="","",K68*SUMIFS(Daily!$D:$D,Daily!$B:$B,B68,Daily!$A:$A,E68)+N(J68))</f>
        <v/>
      </c>
      <c r="M68" s="3">
        <f>IF(K68="","",K68*SUMIFS(Daily!$G:$G,Daily!$B:$B,B68,Daily!$A:$A,E68))</f>
        <v/>
      </c>
      <c r="N68" s="3">
        <f>IF(K68="","",K68*SUMIFS(Daily!$H:$H,Daily!$B:$B,B68,Daily!$A:$A,E68))</f>
        <v/>
      </c>
      <c r="O68" s="3">
        <f>IF(OR(M68="",F68=0),"",M68/F68*10000)</f>
        <v/>
      </c>
      <c r="P68" s="8" t="n"/>
      <c r="Q68" s="8" t="n"/>
      <c r="R68" s="6">
        <f>IF(OR(F68="",F68=0),"",N(I68)/F68)</f>
        <v/>
      </c>
      <c r="S68" s="3">
        <f>IF(OR(F68="",F68=0),"",(N(H68)+N(Q68))/F68*1000)</f>
        <v/>
      </c>
    </row>
    <row r="69">
      <c r="A69" s="8" t="n"/>
      <c r="B69" s="8" t="n"/>
      <c r="C69" s="8" t="n"/>
      <c r="D69" s="8" t="n"/>
      <c r="E69" s="9" t="n"/>
      <c r="F69" s="8" t="n"/>
      <c r="G69" s="8" t="n"/>
      <c r="H69" s="8" t="n"/>
      <c r="I69" s="8" t="n"/>
      <c r="J69" s="8" t="n"/>
      <c r="K69" s="10">
        <f>IF(OR(F69="",SUMIFS($F:$F,$B:$B,B69,$E:$E,E69)=0),"",IF(SUMIFS($I:$I,$B:$B,B69,$E:$E,E69)&gt;0,N(I69)/SUMIFS($I:$I,$B:$B,B69,$E:$E,E69),F69/SUMIFS($F:$F,$B:$B,B69,$E:$E,E69)))</f>
        <v/>
      </c>
      <c r="L69" s="3">
        <f>IF(K69="","",K69*SUMIFS(Daily!$D:$D,Daily!$B:$B,B69,Daily!$A:$A,E69)+N(J69))</f>
        <v/>
      </c>
      <c r="M69" s="3">
        <f>IF(K69="","",K69*SUMIFS(Daily!$G:$G,Daily!$B:$B,B69,Daily!$A:$A,E69))</f>
        <v/>
      </c>
      <c r="N69" s="3">
        <f>IF(K69="","",K69*SUMIFS(Daily!$H:$H,Daily!$B:$B,B69,Daily!$A:$A,E69))</f>
        <v/>
      </c>
      <c r="O69" s="3">
        <f>IF(OR(M69="",F69=0),"",M69/F69*10000)</f>
        <v/>
      </c>
      <c r="P69" s="8" t="n"/>
      <c r="Q69" s="8" t="n"/>
      <c r="R69" s="6">
        <f>IF(OR(F69="",F69=0),"",N(I69)/F69)</f>
        <v/>
      </c>
      <c r="S69" s="3">
        <f>IF(OR(F69="",F69=0),"",(N(H69)+N(Q69))/F69*1000)</f>
        <v/>
      </c>
    </row>
    <row r="70">
      <c r="A70" s="8" t="n"/>
      <c r="B70" s="8" t="n"/>
      <c r="C70" s="8" t="n"/>
      <c r="D70" s="8" t="n"/>
      <c r="E70" s="9" t="n"/>
      <c r="F70" s="8" t="n"/>
      <c r="G70" s="8" t="n"/>
      <c r="H70" s="8" t="n"/>
      <c r="I70" s="8" t="n"/>
      <c r="J70" s="8" t="n"/>
      <c r="K70" s="10">
        <f>IF(OR(F70="",SUMIFS($F:$F,$B:$B,B70,$E:$E,E70)=0),"",IF(SUMIFS($I:$I,$B:$B,B70,$E:$E,E70)&gt;0,N(I70)/SUMIFS($I:$I,$B:$B,B70,$E:$E,E70),F70/SUMIFS($F:$F,$B:$B,B70,$E:$E,E70)))</f>
        <v/>
      </c>
      <c r="L70" s="3">
        <f>IF(K70="","",K70*SUMIFS(Daily!$D:$D,Daily!$B:$B,B70,Daily!$A:$A,E70)+N(J70))</f>
        <v/>
      </c>
      <c r="M70" s="3">
        <f>IF(K70="","",K70*SUMIFS(Daily!$G:$G,Daily!$B:$B,B70,Daily!$A:$A,E70))</f>
        <v/>
      </c>
      <c r="N70" s="3">
        <f>IF(K70="","",K70*SUMIFS(Daily!$H:$H,Daily!$B:$B,B70,Daily!$A:$A,E70))</f>
        <v/>
      </c>
      <c r="O70" s="3">
        <f>IF(OR(M70="",F70=0),"",M70/F70*10000)</f>
        <v/>
      </c>
      <c r="P70" s="8" t="n"/>
      <c r="Q70" s="8" t="n"/>
      <c r="R70" s="6">
        <f>IF(OR(F70="",F70=0),"",N(I70)/F70)</f>
        <v/>
      </c>
      <c r="S70" s="3">
        <f>IF(OR(F70="",F70=0),"",(N(H70)+N(Q70))/F70*1000)</f>
        <v/>
      </c>
    </row>
    <row r="71">
      <c r="A71" s="8" t="n"/>
      <c r="B71" s="8" t="n"/>
      <c r="C71" s="8" t="n"/>
      <c r="D71" s="8" t="n"/>
      <c r="E71" s="9" t="n"/>
      <c r="F71" s="8" t="n"/>
      <c r="G71" s="8" t="n"/>
      <c r="H71" s="8" t="n"/>
      <c r="I71" s="8" t="n"/>
      <c r="J71" s="8" t="n"/>
      <c r="K71" s="10">
        <f>IF(OR(F71="",SUMIFS($F:$F,$B:$B,B71,$E:$E,E71)=0),"",IF(SUMIFS($I:$I,$B:$B,B71,$E:$E,E71)&gt;0,N(I71)/SUMIFS($I:$I,$B:$B,B71,$E:$E,E71),F71/SUMIFS($F:$F,$B:$B,B71,$E:$E,E71)))</f>
        <v/>
      </c>
      <c r="L71" s="3">
        <f>IF(K71="","",K71*SUMIFS(Daily!$D:$D,Daily!$B:$B,B71,Daily!$A:$A,E71)+N(J71))</f>
        <v/>
      </c>
      <c r="M71" s="3">
        <f>IF(K71="","",K71*SUMIFS(Daily!$G:$G,Daily!$B:$B,B71,Daily!$A:$A,E71))</f>
        <v/>
      </c>
      <c r="N71" s="3">
        <f>IF(K71="","",K71*SUMIFS(Daily!$H:$H,Daily!$B:$B,B71,Daily!$A:$A,E71))</f>
        <v/>
      </c>
      <c r="O71" s="3">
        <f>IF(OR(M71="",F71=0),"",M71/F71*10000)</f>
        <v/>
      </c>
      <c r="P71" s="8" t="n"/>
      <c r="Q71" s="8" t="n"/>
      <c r="R71" s="6">
        <f>IF(OR(F71="",F71=0),"",N(I71)/F71)</f>
        <v/>
      </c>
      <c r="S71" s="3">
        <f>IF(OR(F71="",F71=0),"",(N(H71)+N(Q71))/F71*1000)</f>
        <v/>
      </c>
    </row>
    <row r="72">
      <c r="A72" s="8" t="n"/>
      <c r="B72" s="8" t="n"/>
      <c r="C72" s="8" t="n"/>
      <c r="D72" s="8" t="n"/>
      <c r="E72" s="9" t="n"/>
      <c r="F72" s="8" t="n"/>
      <c r="G72" s="8" t="n"/>
      <c r="H72" s="8" t="n"/>
      <c r="I72" s="8" t="n"/>
      <c r="J72" s="8" t="n"/>
      <c r="K72" s="10">
        <f>IF(OR(F72="",SUMIFS($F:$F,$B:$B,B72,$E:$E,E72)=0),"",IF(SUMIFS($I:$I,$B:$B,B72,$E:$E,E72)&gt;0,N(I72)/SUMIFS($I:$I,$B:$B,B72,$E:$E,E72),F72/SUMIFS($F:$F,$B:$B,B72,$E:$E,E72)))</f>
        <v/>
      </c>
      <c r="L72" s="3">
        <f>IF(K72="","",K72*SUMIFS(Daily!$D:$D,Daily!$B:$B,B72,Daily!$A:$A,E72)+N(J72))</f>
        <v/>
      </c>
      <c r="M72" s="3">
        <f>IF(K72="","",K72*SUMIFS(Daily!$G:$G,Daily!$B:$B,B72,Daily!$A:$A,E72))</f>
        <v/>
      </c>
      <c r="N72" s="3">
        <f>IF(K72="","",K72*SUMIFS(Daily!$H:$H,Daily!$B:$B,B72,Daily!$A:$A,E72))</f>
        <v/>
      </c>
      <c r="O72" s="3">
        <f>IF(OR(M72="",F72=0),"",M72/F72*10000)</f>
        <v/>
      </c>
      <c r="P72" s="8" t="n"/>
      <c r="Q72" s="8" t="n"/>
      <c r="R72" s="6">
        <f>IF(OR(F72="",F72=0),"",N(I72)/F72)</f>
        <v/>
      </c>
      <c r="S72" s="3">
        <f>IF(OR(F72="",F72=0),"",(N(H72)+N(Q72))/F72*1000)</f>
        <v/>
      </c>
    </row>
    <row r="73">
      <c r="A73" s="8" t="n"/>
      <c r="B73" s="8" t="n"/>
      <c r="C73" s="8" t="n"/>
      <c r="D73" s="8" t="n"/>
      <c r="E73" s="9" t="n"/>
      <c r="F73" s="8" t="n"/>
      <c r="G73" s="8" t="n"/>
      <c r="H73" s="8" t="n"/>
      <c r="I73" s="8" t="n"/>
      <c r="J73" s="8" t="n"/>
      <c r="K73" s="10">
        <f>IF(OR(F73="",SUMIFS($F:$F,$B:$B,B73,$E:$E,E73)=0),"",IF(SUMIFS($I:$I,$B:$B,B73,$E:$E,E73)&gt;0,N(I73)/SUMIFS($I:$I,$B:$B,B73,$E:$E,E73),F73/SUMIFS($F:$F,$B:$B,B73,$E:$E,E73)))</f>
        <v/>
      </c>
      <c r="L73" s="3">
        <f>IF(K73="","",K73*SUMIFS(Daily!$D:$D,Daily!$B:$B,B73,Daily!$A:$A,E73)+N(J73))</f>
        <v/>
      </c>
      <c r="M73" s="3">
        <f>IF(K73="","",K73*SUMIFS(Daily!$G:$G,Daily!$B:$B,B73,Daily!$A:$A,E73))</f>
        <v/>
      </c>
      <c r="N73" s="3">
        <f>IF(K73="","",K73*SUMIFS(Daily!$H:$H,Daily!$B:$B,B73,Daily!$A:$A,E73))</f>
        <v/>
      </c>
      <c r="O73" s="3">
        <f>IF(OR(M73="",F73=0),"",M73/F73*10000)</f>
        <v/>
      </c>
      <c r="P73" s="8" t="n"/>
      <c r="Q73" s="8" t="n"/>
      <c r="R73" s="6">
        <f>IF(OR(F73="",F73=0),"",N(I73)/F73)</f>
        <v/>
      </c>
      <c r="S73" s="3">
        <f>IF(OR(F73="",F73=0),"",(N(H73)+N(Q73))/F73*1000)</f>
        <v/>
      </c>
    </row>
    <row r="74">
      <c r="A74" s="8" t="n"/>
      <c r="B74" s="8" t="n"/>
      <c r="C74" s="8" t="n"/>
      <c r="D74" s="8" t="n"/>
      <c r="E74" s="9" t="n"/>
      <c r="F74" s="8" t="n"/>
      <c r="G74" s="8" t="n"/>
      <c r="H74" s="8" t="n"/>
      <c r="I74" s="8" t="n"/>
      <c r="J74" s="8" t="n"/>
      <c r="K74" s="10">
        <f>IF(OR(F74="",SUMIFS($F:$F,$B:$B,B74,$E:$E,E74)=0),"",IF(SUMIFS($I:$I,$B:$B,B74,$E:$E,E74)&gt;0,N(I74)/SUMIFS($I:$I,$B:$B,B74,$E:$E,E74),F74/SUMIFS($F:$F,$B:$B,B74,$E:$E,E74)))</f>
        <v/>
      </c>
      <c r="L74" s="3">
        <f>IF(K74="","",K74*SUMIFS(Daily!$D:$D,Daily!$B:$B,B74,Daily!$A:$A,E74)+N(J74))</f>
        <v/>
      </c>
      <c r="M74" s="3">
        <f>IF(K74="","",K74*SUMIFS(Daily!$G:$G,Daily!$B:$B,B74,Daily!$A:$A,E74))</f>
        <v/>
      </c>
      <c r="N74" s="3">
        <f>IF(K74="","",K74*SUMIFS(Daily!$H:$H,Daily!$B:$B,B74,Daily!$A:$A,E74))</f>
        <v/>
      </c>
      <c r="O74" s="3">
        <f>IF(OR(M74="",F74=0),"",M74/F74*10000)</f>
        <v/>
      </c>
      <c r="P74" s="8" t="n"/>
      <c r="Q74" s="8" t="n"/>
      <c r="R74" s="6">
        <f>IF(OR(F74="",F74=0),"",N(I74)/F74)</f>
        <v/>
      </c>
      <c r="S74" s="3">
        <f>IF(OR(F74="",F74=0),"",(N(H74)+N(Q74))/F74*1000)</f>
        <v/>
      </c>
    </row>
    <row r="75">
      <c r="A75" s="8" t="n"/>
      <c r="B75" s="8" t="n"/>
      <c r="C75" s="8" t="n"/>
      <c r="D75" s="8" t="n"/>
      <c r="E75" s="9" t="n"/>
      <c r="F75" s="8" t="n"/>
      <c r="G75" s="8" t="n"/>
      <c r="H75" s="8" t="n"/>
      <c r="I75" s="8" t="n"/>
      <c r="J75" s="8" t="n"/>
      <c r="K75" s="10">
        <f>IF(OR(F75="",SUMIFS($F:$F,$B:$B,B75,$E:$E,E75)=0),"",IF(SUMIFS($I:$I,$B:$B,B75,$E:$E,E75)&gt;0,N(I75)/SUMIFS($I:$I,$B:$B,B75,$E:$E,E75),F75/SUMIFS($F:$F,$B:$B,B75,$E:$E,E75)))</f>
        <v/>
      </c>
      <c r="L75" s="3">
        <f>IF(K75="","",K75*SUMIFS(Daily!$D:$D,Daily!$B:$B,B75,Daily!$A:$A,E75)+N(J75))</f>
        <v/>
      </c>
      <c r="M75" s="3">
        <f>IF(K75="","",K75*SUMIFS(Daily!$G:$G,Daily!$B:$B,B75,Daily!$A:$A,E75))</f>
        <v/>
      </c>
      <c r="N75" s="3">
        <f>IF(K75="","",K75*SUMIFS(Daily!$H:$H,Daily!$B:$B,B75,Daily!$A:$A,E75))</f>
        <v/>
      </c>
      <c r="O75" s="3">
        <f>IF(OR(M75="",F75=0),"",M75/F75*10000)</f>
        <v/>
      </c>
      <c r="P75" s="8" t="n"/>
      <c r="Q75" s="8" t="n"/>
      <c r="R75" s="6">
        <f>IF(OR(F75="",F75=0),"",N(I75)/F75)</f>
        <v/>
      </c>
      <c r="S75" s="3">
        <f>IF(OR(F75="",F75=0),"",(N(H75)+N(Q75))/F75*1000)</f>
        <v/>
      </c>
    </row>
    <row r="76">
      <c r="A76" s="8" t="n"/>
      <c r="B76" s="8" t="n"/>
      <c r="C76" s="8" t="n"/>
      <c r="D76" s="8" t="n"/>
      <c r="E76" s="9" t="n"/>
      <c r="F76" s="8" t="n"/>
      <c r="G76" s="8" t="n"/>
      <c r="H76" s="8" t="n"/>
      <c r="I76" s="8" t="n"/>
      <c r="J76" s="8" t="n"/>
      <c r="K76" s="10">
        <f>IF(OR(F76="",SUMIFS($F:$F,$B:$B,B76,$E:$E,E76)=0),"",IF(SUMIFS($I:$I,$B:$B,B76,$E:$E,E76)&gt;0,N(I76)/SUMIFS($I:$I,$B:$B,B76,$E:$E,E76),F76/SUMIFS($F:$F,$B:$B,B76,$E:$E,E76)))</f>
        <v/>
      </c>
      <c r="L76" s="3">
        <f>IF(K76="","",K76*SUMIFS(Daily!$D:$D,Daily!$B:$B,B76,Daily!$A:$A,E76)+N(J76))</f>
        <v/>
      </c>
      <c r="M76" s="3">
        <f>IF(K76="","",K76*SUMIFS(Daily!$G:$G,Daily!$B:$B,B76,Daily!$A:$A,E76))</f>
        <v/>
      </c>
      <c r="N76" s="3">
        <f>IF(K76="","",K76*SUMIFS(Daily!$H:$H,Daily!$B:$B,B76,Daily!$A:$A,E76))</f>
        <v/>
      </c>
      <c r="O76" s="3">
        <f>IF(OR(M76="",F76=0),"",M76/F76*10000)</f>
        <v/>
      </c>
      <c r="P76" s="8" t="n"/>
      <c r="Q76" s="8" t="n"/>
      <c r="R76" s="6">
        <f>IF(OR(F76="",F76=0),"",N(I76)/F76)</f>
        <v/>
      </c>
      <c r="S76" s="3">
        <f>IF(OR(F76="",F76=0),"",(N(H76)+N(Q76))/F76*1000)</f>
        <v/>
      </c>
    </row>
    <row r="77">
      <c r="A77" s="8" t="n"/>
      <c r="B77" s="8" t="n"/>
      <c r="C77" s="8" t="n"/>
      <c r="D77" s="8" t="n"/>
      <c r="E77" s="9" t="n"/>
      <c r="F77" s="8" t="n"/>
      <c r="G77" s="8" t="n"/>
      <c r="H77" s="8" t="n"/>
      <c r="I77" s="8" t="n"/>
      <c r="J77" s="8" t="n"/>
      <c r="K77" s="10">
        <f>IF(OR(F77="",SUMIFS($F:$F,$B:$B,B77,$E:$E,E77)=0),"",IF(SUMIFS($I:$I,$B:$B,B77,$E:$E,E77)&gt;0,N(I77)/SUMIFS($I:$I,$B:$B,B77,$E:$E,E77),F77/SUMIFS($F:$F,$B:$B,B77,$E:$E,E77)))</f>
        <v/>
      </c>
      <c r="L77" s="3">
        <f>IF(K77="","",K77*SUMIFS(Daily!$D:$D,Daily!$B:$B,B77,Daily!$A:$A,E77)+N(J77))</f>
        <v/>
      </c>
      <c r="M77" s="3">
        <f>IF(K77="","",K77*SUMIFS(Daily!$G:$G,Daily!$B:$B,B77,Daily!$A:$A,E77))</f>
        <v/>
      </c>
      <c r="N77" s="3">
        <f>IF(K77="","",K77*SUMIFS(Daily!$H:$H,Daily!$B:$B,B77,Daily!$A:$A,E77))</f>
        <v/>
      </c>
      <c r="O77" s="3">
        <f>IF(OR(M77="",F77=0),"",M77/F77*10000)</f>
        <v/>
      </c>
      <c r="P77" s="8" t="n"/>
      <c r="Q77" s="8" t="n"/>
      <c r="R77" s="6">
        <f>IF(OR(F77="",F77=0),"",N(I77)/F77)</f>
        <v/>
      </c>
      <c r="S77" s="3">
        <f>IF(OR(F77="",F77=0),"",(N(H77)+N(Q77))/F77*1000)</f>
        <v/>
      </c>
    </row>
    <row r="78">
      <c r="A78" s="8" t="n"/>
      <c r="B78" s="8" t="n"/>
      <c r="C78" s="8" t="n"/>
      <c r="D78" s="8" t="n"/>
      <c r="E78" s="9" t="n"/>
      <c r="F78" s="8" t="n"/>
      <c r="G78" s="8" t="n"/>
      <c r="H78" s="8" t="n"/>
      <c r="I78" s="8" t="n"/>
      <c r="J78" s="8" t="n"/>
      <c r="K78" s="10">
        <f>IF(OR(F78="",SUMIFS($F:$F,$B:$B,B78,$E:$E,E78)=0),"",IF(SUMIFS($I:$I,$B:$B,B78,$E:$E,E78)&gt;0,N(I78)/SUMIFS($I:$I,$B:$B,B78,$E:$E,E78),F78/SUMIFS($F:$F,$B:$B,B78,$E:$E,E78)))</f>
        <v/>
      </c>
      <c r="L78" s="3">
        <f>IF(K78="","",K78*SUMIFS(Daily!$D:$D,Daily!$B:$B,B78,Daily!$A:$A,E78)+N(J78))</f>
        <v/>
      </c>
      <c r="M78" s="3">
        <f>IF(K78="","",K78*SUMIFS(Daily!$G:$G,Daily!$B:$B,B78,Daily!$A:$A,E78))</f>
        <v/>
      </c>
      <c r="N78" s="3">
        <f>IF(K78="","",K78*SUMIFS(Daily!$H:$H,Daily!$B:$B,B78,Daily!$A:$A,E78))</f>
        <v/>
      </c>
      <c r="O78" s="3">
        <f>IF(OR(M78="",F78=0),"",M78/F78*10000)</f>
        <v/>
      </c>
      <c r="P78" s="8" t="n"/>
      <c r="Q78" s="8" t="n"/>
      <c r="R78" s="6">
        <f>IF(OR(F78="",F78=0),"",N(I78)/F78)</f>
        <v/>
      </c>
      <c r="S78" s="3">
        <f>IF(OR(F78="",F78=0),"",(N(H78)+N(Q78))/F78*1000)</f>
        <v/>
      </c>
    </row>
    <row r="79">
      <c r="A79" s="8" t="n"/>
      <c r="B79" s="8" t="n"/>
      <c r="C79" s="8" t="n"/>
      <c r="D79" s="8" t="n"/>
      <c r="E79" s="9" t="n"/>
      <c r="F79" s="8" t="n"/>
      <c r="G79" s="8" t="n"/>
      <c r="H79" s="8" t="n"/>
      <c r="I79" s="8" t="n"/>
      <c r="J79" s="8" t="n"/>
      <c r="K79" s="10">
        <f>IF(OR(F79="",SUMIFS($F:$F,$B:$B,B79,$E:$E,E79)=0),"",IF(SUMIFS($I:$I,$B:$B,B79,$E:$E,E79)&gt;0,N(I79)/SUMIFS($I:$I,$B:$B,B79,$E:$E,E79),F79/SUMIFS($F:$F,$B:$B,B79,$E:$E,E79)))</f>
        <v/>
      </c>
      <c r="L79" s="3">
        <f>IF(K79="","",K79*SUMIFS(Daily!$D:$D,Daily!$B:$B,B79,Daily!$A:$A,E79)+N(J79))</f>
        <v/>
      </c>
      <c r="M79" s="3">
        <f>IF(K79="","",K79*SUMIFS(Daily!$G:$G,Daily!$B:$B,B79,Daily!$A:$A,E79))</f>
        <v/>
      </c>
      <c r="N79" s="3">
        <f>IF(K79="","",K79*SUMIFS(Daily!$H:$H,Daily!$B:$B,B79,Daily!$A:$A,E79))</f>
        <v/>
      </c>
      <c r="O79" s="3">
        <f>IF(OR(M79="",F79=0),"",M79/F79*10000)</f>
        <v/>
      </c>
      <c r="P79" s="8" t="n"/>
      <c r="Q79" s="8" t="n"/>
      <c r="R79" s="6">
        <f>IF(OR(F79="",F79=0),"",N(I79)/F79)</f>
        <v/>
      </c>
      <c r="S79" s="3">
        <f>IF(OR(F79="",F79=0),"",(N(H79)+N(Q79))/F79*1000)</f>
        <v/>
      </c>
    </row>
    <row r="80">
      <c r="A80" s="8" t="n"/>
      <c r="B80" s="8" t="n"/>
      <c r="C80" s="8" t="n"/>
      <c r="D80" s="8" t="n"/>
      <c r="E80" s="9" t="n"/>
      <c r="F80" s="8" t="n"/>
      <c r="G80" s="8" t="n"/>
      <c r="H80" s="8" t="n"/>
      <c r="I80" s="8" t="n"/>
      <c r="J80" s="8" t="n"/>
      <c r="K80" s="10">
        <f>IF(OR(F80="",SUMIFS($F:$F,$B:$B,B80,$E:$E,E80)=0),"",IF(SUMIFS($I:$I,$B:$B,B80,$E:$E,E80)&gt;0,N(I80)/SUMIFS($I:$I,$B:$B,B80,$E:$E,E80),F80/SUMIFS($F:$F,$B:$B,B80,$E:$E,E80)))</f>
        <v/>
      </c>
      <c r="L80" s="3">
        <f>IF(K80="","",K80*SUMIFS(Daily!$D:$D,Daily!$B:$B,B80,Daily!$A:$A,E80)+N(J80))</f>
        <v/>
      </c>
      <c r="M80" s="3">
        <f>IF(K80="","",K80*SUMIFS(Daily!$G:$G,Daily!$B:$B,B80,Daily!$A:$A,E80))</f>
        <v/>
      </c>
      <c r="N80" s="3">
        <f>IF(K80="","",K80*SUMIFS(Daily!$H:$H,Daily!$B:$B,B80,Daily!$A:$A,E80))</f>
        <v/>
      </c>
      <c r="O80" s="3">
        <f>IF(OR(M80="",F80=0),"",M80/F80*10000)</f>
        <v/>
      </c>
      <c r="P80" s="8" t="n"/>
      <c r="Q80" s="8" t="n"/>
      <c r="R80" s="6">
        <f>IF(OR(F80="",F80=0),"",N(I80)/F80)</f>
        <v/>
      </c>
      <c r="S80" s="3">
        <f>IF(OR(F80="",F80=0),"",(N(H80)+N(Q80))/F80*1000)</f>
        <v/>
      </c>
    </row>
    <row r="81">
      <c r="A81" s="8" t="n"/>
      <c r="B81" s="8" t="n"/>
      <c r="C81" s="8" t="n"/>
      <c r="D81" s="8" t="n"/>
      <c r="E81" s="9" t="n"/>
      <c r="F81" s="8" t="n"/>
      <c r="G81" s="8" t="n"/>
      <c r="H81" s="8" t="n"/>
      <c r="I81" s="8" t="n"/>
      <c r="J81" s="8" t="n"/>
      <c r="K81" s="10">
        <f>IF(OR(F81="",SUMIFS($F:$F,$B:$B,B81,$E:$E,E81)=0),"",IF(SUMIFS($I:$I,$B:$B,B81,$E:$E,E81)&gt;0,N(I81)/SUMIFS($I:$I,$B:$B,B81,$E:$E,E81),F81/SUMIFS($F:$F,$B:$B,B81,$E:$E,E81)))</f>
        <v/>
      </c>
      <c r="L81" s="3">
        <f>IF(K81="","",K81*SUMIFS(Daily!$D:$D,Daily!$B:$B,B81,Daily!$A:$A,E81)+N(J81))</f>
        <v/>
      </c>
      <c r="M81" s="3">
        <f>IF(K81="","",K81*SUMIFS(Daily!$G:$G,Daily!$B:$B,B81,Daily!$A:$A,E81))</f>
        <v/>
      </c>
      <c r="N81" s="3">
        <f>IF(K81="","",K81*SUMIFS(Daily!$H:$H,Daily!$B:$B,B81,Daily!$A:$A,E81))</f>
        <v/>
      </c>
      <c r="O81" s="3">
        <f>IF(OR(M81="",F81=0),"",M81/F81*10000)</f>
        <v/>
      </c>
      <c r="P81" s="8" t="n"/>
      <c r="Q81" s="8" t="n"/>
      <c r="R81" s="6">
        <f>IF(OR(F81="",F81=0),"",N(I81)/F81)</f>
        <v/>
      </c>
      <c r="S81" s="3">
        <f>IF(OR(F81="",F81=0),"",(N(H81)+N(Q81))/F81*1000)</f>
        <v/>
      </c>
    </row>
    <row r="82">
      <c r="A82" s="8" t="n"/>
      <c r="B82" s="8" t="n"/>
      <c r="C82" s="8" t="n"/>
      <c r="D82" s="8" t="n"/>
      <c r="E82" s="9" t="n"/>
      <c r="F82" s="8" t="n"/>
      <c r="G82" s="8" t="n"/>
      <c r="H82" s="8" t="n"/>
      <c r="I82" s="8" t="n"/>
      <c r="J82" s="8" t="n"/>
      <c r="K82" s="10">
        <f>IF(OR(F82="",SUMIFS($F:$F,$B:$B,B82,$E:$E,E82)=0),"",IF(SUMIFS($I:$I,$B:$B,B82,$E:$E,E82)&gt;0,N(I82)/SUMIFS($I:$I,$B:$B,B82,$E:$E,E82),F82/SUMIFS($F:$F,$B:$B,B82,$E:$E,E82)))</f>
        <v/>
      </c>
      <c r="L82" s="3">
        <f>IF(K82="","",K82*SUMIFS(Daily!$D:$D,Daily!$B:$B,B82,Daily!$A:$A,E82)+N(J82))</f>
        <v/>
      </c>
      <c r="M82" s="3">
        <f>IF(K82="","",K82*SUMIFS(Daily!$G:$G,Daily!$B:$B,B82,Daily!$A:$A,E82))</f>
        <v/>
      </c>
      <c r="N82" s="3">
        <f>IF(K82="","",K82*SUMIFS(Daily!$H:$H,Daily!$B:$B,B82,Daily!$A:$A,E82))</f>
        <v/>
      </c>
      <c r="O82" s="3">
        <f>IF(OR(M82="",F82=0),"",M82/F82*10000)</f>
        <v/>
      </c>
      <c r="P82" s="8" t="n"/>
      <c r="Q82" s="8" t="n"/>
      <c r="R82" s="6">
        <f>IF(OR(F82="",F82=0),"",N(I82)/F82)</f>
        <v/>
      </c>
      <c r="S82" s="3">
        <f>IF(OR(F82="",F82=0),"",(N(H82)+N(Q82))/F82*1000)</f>
        <v/>
      </c>
    </row>
    <row r="83">
      <c r="A83" s="8" t="n"/>
      <c r="B83" s="8" t="n"/>
      <c r="C83" s="8" t="n"/>
      <c r="D83" s="8" t="n"/>
      <c r="E83" s="9" t="n"/>
      <c r="F83" s="8" t="n"/>
      <c r="G83" s="8" t="n"/>
      <c r="H83" s="8" t="n"/>
      <c r="I83" s="8" t="n"/>
      <c r="J83" s="8" t="n"/>
      <c r="K83" s="10">
        <f>IF(OR(F83="",SUMIFS($F:$F,$B:$B,B83,$E:$E,E83)=0),"",IF(SUMIFS($I:$I,$B:$B,B83,$E:$E,E83)&gt;0,N(I83)/SUMIFS($I:$I,$B:$B,B83,$E:$E,E83),F83/SUMIFS($F:$F,$B:$B,B83,$E:$E,E83)))</f>
        <v/>
      </c>
      <c r="L83" s="3">
        <f>IF(K83="","",K83*SUMIFS(Daily!$D:$D,Daily!$B:$B,B83,Daily!$A:$A,E83)+N(J83))</f>
        <v/>
      </c>
      <c r="M83" s="3">
        <f>IF(K83="","",K83*SUMIFS(Daily!$G:$G,Daily!$B:$B,B83,Daily!$A:$A,E83))</f>
        <v/>
      </c>
      <c r="N83" s="3">
        <f>IF(K83="","",K83*SUMIFS(Daily!$H:$H,Daily!$B:$B,B83,Daily!$A:$A,E83))</f>
        <v/>
      </c>
      <c r="O83" s="3">
        <f>IF(OR(M83="",F83=0),"",M83/F83*10000)</f>
        <v/>
      </c>
      <c r="P83" s="8" t="n"/>
      <c r="Q83" s="8" t="n"/>
      <c r="R83" s="6">
        <f>IF(OR(F83="",F83=0),"",N(I83)/F83)</f>
        <v/>
      </c>
      <c r="S83" s="3">
        <f>IF(OR(F83="",F83=0),"",(N(H83)+N(Q83))/F83*1000)</f>
        <v/>
      </c>
    </row>
    <row r="84">
      <c r="A84" s="8" t="n"/>
      <c r="B84" s="8" t="n"/>
      <c r="C84" s="8" t="n"/>
      <c r="D84" s="8" t="n"/>
      <c r="E84" s="9" t="n"/>
      <c r="F84" s="8" t="n"/>
      <c r="G84" s="8" t="n"/>
      <c r="H84" s="8" t="n"/>
      <c r="I84" s="8" t="n"/>
      <c r="J84" s="8" t="n"/>
      <c r="K84" s="10">
        <f>IF(OR(F84="",SUMIFS($F:$F,$B:$B,B84,$E:$E,E84)=0),"",IF(SUMIFS($I:$I,$B:$B,B84,$E:$E,E84)&gt;0,N(I84)/SUMIFS($I:$I,$B:$B,B84,$E:$E,E84),F84/SUMIFS($F:$F,$B:$B,B84,$E:$E,E84)))</f>
        <v/>
      </c>
      <c r="L84" s="3">
        <f>IF(K84="","",K84*SUMIFS(Daily!$D:$D,Daily!$B:$B,B84,Daily!$A:$A,E84)+N(J84))</f>
        <v/>
      </c>
      <c r="M84" s="3">
        <f>IF(K84="","",K84*SUMIFS(Daily!$G:$G,Daily!$B:$B,B84,Daily!$A:$A,E84))</f>
        <v/>
      </c>
      <c r="N84" s="3">
        <f>IF(K84="","",K84*SUMIFS(Daily!$H:$H,Daily!$B:$B,B84,Daily!$A:$A,E84))</f>
        <v/>
      </c>
      <c r="O84" s="3">
        <f>IF(OR(M84="",F84=0),"",M84/F84*10000)</f>
        <v/>
      </c>
      <c r="P84" s="8" t="n"/>
      <c r="Q84" s="8" t="n"/>
      <c r="R84" s="6">
        <f>IF(OR(F84="",F84=0),"",N(I84)/F84)</f>
        <v/>
      </c>
      <c r="S84" s="3">
        <f>IF(OR(F84="",F84=0),"",(N(H84)+N(Q84))/F84*1000)</f>
        <v/>
      </c>
    </row>
    <row r="85">
      <c r="A85" s="8" t="n"/>
      <c r="B85" s="8" t="n"/>
      <c r="C85" s="8" t="n"/>
      <c r="D85" s="8" t="n"/>
      <c r="E85" s="9" t="n"/>
      <c r="F85" s="8" t="n"/>
      <c r="G85" s="8" t="n"/>
      <c r="H85" s="8" t="n"/>
      <c r="I85" s="8" t="n"/>
      <c r="J85" s="8" t="n"/>
      <c r="K85" s="10">
        <f>IF(OR(F85="",SUMIFS($F:$F,$B:$B,B85,$E:$E,E85)=0),"",IF(SUMIFS($I:$I,$B:$B,B85,$E:$E,E85)&gt;0,N(I85)/SUMIFS($I:$I,$B:$B,B85,$E:$E,E85),F85/SUMIFS($F:$F,$B:$B,B85,$E:$E,E85)))</f>
        <v/>
      </c>
      <c r="L85" s="3">
        <f>IF(K85="","",K85*SUMIFS(Daily!$D:$D,Daily!$B:$B,B85,Daily!$A:$A,E85)+N(J85))</f>
        <v/>
      </c>
      <c r="M85" s="3">
        <f>IF(K85="","",K85*SUMIFS(Daily!$G:$G,Daily!$B:$B,B85,Daily!$A:$A,E85))</f>
        <v/>
      </c>
      <c r="N85" s="3">
        <f>IF(K85="","",K85*SUMIFS(Daily!$H:$H,Daily!$B:$B,B85,Daily!$A:$A,E85))</f>
        <v/>
      </c>
      <c r="O85" s="3">
        <f>IF(OR(M85="",F85=0),"",M85/F85*10000)</f>
        <v/>
      </c>
      <c r="P85" s="8" t="n"/>
      <c r="Q85" s="8" t="n"/>
      <c r="R85" s="6">
        <f>IF(OR(F85="",F85=0),"",N(I85)/F85)</f>
        <v/>
      </c>
      <c r="S85" s="3">
        <f>IF(OR(F85="",F85=0),"",(N(H85)+N(Q85))/F85*1000)</f>
        <v/>
      </c>
    </row>
    <row r="86">
      <c r="A86" s="8" t="n"/>
      <c r="B86" s="8" t="n"/>
      <c r="C86" s="8" t="n"/>
      <c r="D86" s="8" t="n"/>
      <c r="E86" s="9" t="n"/>
      <c r="F86" s="8" t="n"/>
      <c r="G86" s="8" t="n"/>
      <c r="H86" s="8" t="n"/>
      <c r="I86" s="8" t="n"/>
      <c r="J86" s="8" t="n"/>
      <c r="K86" s="10">
        <f>IF(OR(F86="",SUMIFS($F:$F,$B:$B,B86,$E:$E,E86)=0),"",IF(SUMIFS($I:$I,$B:$B,B86,$E:$E,E86)&gt;0,N(I86)/SUMIFS($I:$I,$B:$B,B86,$E:$E,E86),F86/SUMIFS($F:$F,$B:$B,B86,$E:$E,E86)))</f>
        <v/>
      </c>
      <c r="L86" s="3">
        <f>IF(K86="","",K86*SUMIFS(Daily!$D:$D,Daily!$B:$B,B86,Daily!$A:$A,E86)+N(J86))</f>
        <v/>
      </c>
      <c r="M86" s="3">
        <f>IF(K86="","",K86*SUMIFS(Daily!$G:$G,Daily!$B:$B,B86,Daily!$A:$A,E86))</f>
        <v/>
      </c>
      <c r="N86" s="3">
        <f>IF(K86="","",K86*SUMIFS(Daily!$H:$H,Daily!$B:$B,B86,Daily!$A:$A,E86))</f>
        <v/>
      </c>
      <c r="O86" s="3">
        <f>IF(OR(M86="",F86=0),"",M86/F86*10000)</f>
        <v/>
      </c>
      <c r="P86" s="8" t="n"/>
      <c r="Q86" s="8" t="n"/>
      <c r="R86" s="6">
        <f>IF(OR(F86="",F86=0),"",N(I86)/F86)</f>
        <v/>
      </c>
      <c r="S86" s="3">
        <f>IF(OR(F86="",F86=0),"",(N(H86)+N(Q86))/F86*1000)</f>
        <v/>
      </c>
    </row>
    <row r="87">
      <c r="A87" s="8" t="n"/>
      <c r="B87" s="8" t="n"/>
      <c r="C87" s="8" t="n"/>
      <c r="D87" s="8" t="n"/>
      <c r="E87" s="9" t="n"/>
      <c r="F87" s="8" t="n"/>
      <c r="G87" s="8" t="n"/>
      <c r="H87" s="8" t="n"/>
      <c r="I87" s="8" t="n"/>
      <c r="J87" s="8" t="n"/>
      <c r="K87" s="10">
        <f>IF(OR(F87="",SUMIFS($F:$F,$B:$B,B87,$E:$E,E87)=0),"",IF(SUMIFS($I:$I,$B:$B,B87,$E:$E,E87)&gt;0,N(I87)/SUMIFS($I:$I,$B:$B,B87,$E:$E,E87),F87/SUMIFS($F:$F,$B:$B,B87,$E:$E,E87)))</f>
        <v/>
      </c>
      <c r="L87" s="3">
        <f>IF(K87="","",K87*SUMIFS(Daily!$D:$D,Daily!$B:$B,B87,Daily!$A:$A,E87)+N(J87))</f>
        <v/>
      </c>
      <c r="M87" s="3">
        <f>IF(K87="","",K87*SUMIFS(Daily!$G:$G,Daily!$B:$B,B87,Daily!$A:$A,E87))</f>
        <v/>
      </c>
      <c r="N87" s="3">
        <f>IF(K87="","",K87*SUMIFS(Daily!$H:$H,Daily!$B:$B,B87,Daily!$A:$A,E87))</f>
        <v/>
      </c>
      <c r="O87" s="3">
        <f>IF(OR(M87="",F87=0),"",M87/F87*10000)</f>
        <v/>
      </c>
      <c r="P87" s="8" t="n"/>
      <c r="Q87" s="8" t="n"/>
      <c r="R87" s="6">
        <f>IF(OR(F87="",F87=0),"",N(I87)/F87)</f>
        <v/>
      </c>
      <c r="S87" s="3">
        <f>IF(OR(F87="",F87=0),"",(N(H87)+N(Q87))/F87*1000)</f>
        <v/>
      </c>
    </row>
    <row r="88">
      <c r="A88" s="8" t="n"/>
      <c r="B88" s="8" t="n"/>
      <c r="C88" s="8" t="n"/>
      <c r="D88" s="8" t="n"/>
      <c r="E88" s="9" t="n"/>
      <c r="F88" s="8" t="n"/>
      <c r="G88" s="8" t="n"/>
      <c r="H88" s="8" t="n"/>
      <c r="I88" s="8" t="n"/>
      <c r="J88" s="8" t="n"/>
      <c r="K88" s="10">
        <f>IF(OR(F88="",SUMIFS($F:$F,$B:$B,B88,$E:$E,E88)=0),"",IF(SUMIFS($I:$I,$B:$B,B88,$E:$E,E88)&gt;0,N(I88)/SUMIFS($I:$I,$B:$B,B88,$E:$E,E88),F88/SUMIFS($F:$F,$B:$B,B88,$E:$E,E88)))</f>
        <v/>
      </c>
      <c r="L88" s="3">
        <f>IF(K88="","",K88*SUMIFS(Daily!$D:$D,Daily!$B:$B,B88,Daily!$A:$A,E88)+N(J88))</f>
        <v/>
      </c>
      <c r="M88" s="3">
        <f>IF(K88="","",K88*SUMIFS(Daily!$G:$G,Daily!$B:$B,B88,Daily!$A:$A,E88))</f>
        <v/>
      </c>
      <c r="N88" s="3">
        <f>IF(K88="","",K88*SUMIFS(Daily!$H:$H,Daily!$B:$B,B88,Daily!$A:$A,E88))</f>
        <v/>
      </c>
      <c r="O88" s="3">
        <f>IF(OR(M88="",F88=0),"",M88/F88*10000)</f>
        <v/>
      </c>
      <c r="P88" s="8" t="n"/>
      <c r="Q88" s="8" t="n"/>
      <c r="R88" s="6">
        <f>IF(OR(F88="",F88=0),"",N(I88)/F88)</f>
        <v/>
      </c>
      <c r="S88" s="3">
        <f>IF(OR(F88="",F88=0),"",(N(H88)+N(Q88))/F88*1000)</f>
        <v/>
      </c>
    </row>
    <row r="89">
      <c r="A89" s="8" t="n"/>
      <c r="B89" s="8" t="n"/>
      <c r="C89" s="8" t="n"/>
      <c r="D89" s="8" t="n"/>
      <c r="E89" s="9" t="n"/>
      <c r="F89" s="8" t="n"/>
      <c r="G89" s="8" t="n"/>
      <c r="H89" s="8" t="n"/>
      <c r="I89" s="8" t="n"/>
      <c r="J89" s="8" t="n"/>
      <c r="K89" s="10">
        <f>IF(OR(F89="",SUMIFS($F:$F,$B:$B,B89,$E:$E,E89)=0),"",IF(SUMIFS($I:$I,$B:$B,B89,$E:$E,E89)&gt;0,N(I89)/SUMIFS($I:$I,$B:$B,B89,$E:$E,E89),F89/SUMIFS($F:$F,$B:$B,B89,$E:$E,E89)))</f>
        <v/>
      </c>
      <c r="L89" s="3">
        <f>IF(K89="","",K89*SUMIFS(Daily!$D:$D,Daily!$B:$B,B89,Daily!$A:$A,E89)+N(J89))</f>
        <v/>
      </c>
      <c r="M89" s="3">
        <f>IF(K89="","",K89*SUMIFS(Daily!$G:$G,Daily!$B:$B,B89,Daily!$A:$A,E89))</f>
        <v/>
      </c>
      <c r="N89" s="3">
        <f>IF(K89="","",K89*SUMIFS(Daily!$H:$H,Daily!$B:$B,B89,Daily!$A:$A,E89))</f>
        <v/>
      </c>
      <c r="O89" s="3">
        <f>IF(OR(M89="",F89=0),"",M89/F89*10000)</f>
        <v/>
      </c>
      <c r="P89" s="8" t="n"/>
      <c r="Q89" s="8" t="n"/>
      <c r="R89" s="6">
        <f>IF(OR(F89="",F89=0),"",N(I89)/F89)</f>
        <v/>
      </c>
      <c r="S89" s="3">
        <f>IF(OR(F89="",F89=0),"",(N(H89)+N(Q89))/F89*1000)</f>
        <v/>
      </c>
    </row>
    <row r="90">
      <c r="A90" s="8" t="n"/>
      <c r="B90" s="8" t="n"/>
      <c r="C90" s="8" t="n"/>
      <c r="D90" s="8" t="n"/>
      <c r="E90" s="9" t="n"/>
      <c r="F90" s="8" t="n"/>
      <c r="G90" s="8" t="n"/>
      <c r="H90" s="8" t="n"/>
      <c r="I90" s="8" t="n"/>
      <c r="J90" s="8" t="n"/>
      <c r="K90" s="10">
        <f>IF(OR(F90="",SUMIFS($F:$F,$B:$B,B90,$E:$E,E90)=0),"",IF(SUMIFS($I:$I,$B:$B,B90,$E:$E,E90)&gt;0,N(I90)/SUMIFS($I:$I,$B:$B,B90,$E:$E,E90),F90/SUMIFS($F:$F,$B:$B,B90,$E:$E,E90)))</f>
        <v/>
      </c>
      <c r="L90" s="3">
        <f>IF(K90="","",K90*SUMIFS(Daily!$D:$D,Daily!$B:$B,B90,Daily!$A:$A,E90)+N(J90))</f>
        <v/>
      </c>
      <c r="M90" s="3">
        <f>IF(K90="","",K90*SUMIFS(Daily!$G:$G,Daily!$B:$B,B90,Daily!$A:$A,E90))</f>
        <v/>
      </c>
      <c r="N90" s="3">
        <f>IF(K90="","",K90*SUMIFS(Daily!$H:$H,Daily!$B:$B,B90,Daily!$A:$A,E90))</f>
        <v/>
      </c>
      <c r="O90" s="3">
        <f>IF(OR(M90="",F90=0),"",M90/F90*10000)</f>
        <v/>
      </c>
      <c r="P90" s="8" t="n"/>
      <c r="Q90" s="8" t="n"/>
      <c r="R90" s="6">
        <f>IF(OR(F90="",F90=0),"",N(I90)/F90)</f>
        <v/>
      </c>
      <c r="S90" s="3">
        <f>IF(OR(F90="",F90=0),"",(N(H90)+N(Q90))/F90*1000)</f>
        <v/>
      </c>
    </row>
    <row r="91">
      <c r="A91" s="8" t="n"/>
      <c r="B91" s="8" t="n"/>
      <c r="C91" s="8" t="n"/>
      <c r="D91" s="8" t="n"/>
      <c r="E91" s="9" t="n"/>
      <c r="F91" s="8" t="n"/>
      <c r="G91" s="8" t="n"/>
      <c r="H91" s="8" t="n"/>
      <c r="I91" s="8" t="n"/>
      <c r="J91" s="8" t="n"/>
      <c r="K91" s="10">
        <f>IF(OR(F91="",SUMIFS($F:$F,$B:$B,B91,$E:$E,E91)=0),"",IF(SUMIFS($I:$I,$B:$B,B91,$E:$E,E91)&gt;0,N(I91)/SUMIFS($I:$I,$B:$B,B91,$E:$E,E91),F91/SUMIFS($F:$F,$B:$B,B91,$E:$E,E91)))</f>
        <v/>
      </c>
      <c r="L91" s="3">
        <f>IF(K91="","",K91*SUMIFS(Daily!$D:$D,Daily!$B:$B,B91,Daily!$A:$A,E91)+N(J91))</f>
        <v/>
      </c>
      <c r="M91" s="3">
        <f>IF(K91="","",K91*SUMIFS(Daily!$G:$G,Daily!$B:$B,B91,Daily!$A:$A,E91))</f>
        <v/>
      </c>
      <c r="N91" s="3">
        <f>IF(K91="","",K91*SUMIFS(Daily!$H:$H,Daily!$B:$B,B91,Daily!$A:$A,E91))</f>
        <v/>
      </c>
      <c r="O91" s="3">
        <f>IF(OR(M91="",F91=0),"",M91/F91*10000)</f>
        <v/>
      </c>
      <c r="P91" s="8" t="n"/>
      <c r="Q91" s="8" t="n"/>
      <c r="R91" s="6">
        <f>IF(OR(F91="",F91=0),"",N(I91)/F91)</f>
        <v/>
      </c>
      <c r="S91" s="3">
        <f>IF(OR(F91="",F91=0),"",(N(H91)+N(Q91))/F91*1000)</f>
        <v/>
      </c>
    </row>
    <row r="92">
      <c r="A92" s="8" t="n"/>
      <c r="B92" s="8" t="n"/>
      <c r="C92" s="8" t="n"/>
      <c r="D92" s="8" t="n"/>
      <c r="E92" s="9" t="n"/>
      <c r="F92" s="8" t="n"/>
      <c r="G92" s="8" t="n"/>
      <c r="H92" s="8" t="n"/>
      <c r="I92" s="8" t="n"/>
      <c r="J92" s="8" t="n"/>
      <c r="K92" s="10">
        <f>IF(OR(F92="",SUMIFS($F:$F,$B:$B,B92,$E:$E,E92)=0),"",IF(SUMIFS($I:$I,$B:$B,B92,$E:$E,E92)&gt;0,N(I92)/SUMIFS($I:$I,$B:$B,B92,$E:$E,E92),F92/SUMIFS($F:$F,$B:$B,B92,$E:$E,E92)))</f>
        <v/>
      </c>
      <c r="L92" s="3">
        <f>IF(K92="","",K92*SUMIFS(Daily!$D:$D,Daily!$B:$B,B92,Daily!$A:$A,E92)+N(J92))</f>
        <v/>
      </c>
      <c r="M92" s="3">
        <f>IF(K92="","",K92*SUMIFS(Daily!$G:$G,Daily!$B:$B,B92,Daily!$A:$A,E92))</f>
        <v/>
      </c>
      <c r="N92" s="3">
        <f>IF(K92="","",K92*SUMIFS(Daily!$H:$H,Daily!$B:$B,B92,Daily!$A:$A,E92))</f>
        <v/>
      </c>
      <c r="O92" s="3">
        <f>IF(OR(M92="",F92=0),"",M92/F92*10000)</f>
        <v/>
      </c>
      <c r="P92" s="8" t="n"/>
      <c r="Q92" s="8" t="n"/>
      <c r="R92" s="6">
        <f>IF(OR(F92="",F92=0),"",N(I92)/F92)</f>
        <v/>
      </c>
      <c r="S92" s="3">
        <f>IF(OR(F92="",F92=0),"",(N(H92)+N(Q92))/F92*1000)</f>
        <v/>
      </c>
    </row>
    <row r="93">
      <c r="A93" s="8" t="n"/>
      <c r="B93" s="8" t="n"/>
      <c r="C93" s="8" t="n"/>
      <c r="D93" s="8" t="n"/>
      <c r="E93" s="9" t="n"/>
      <c r="F93" s="8" t="n"/>
      <c r="G93" s="8" t="n"/>
      <c r="H93" s="8" t="n"/>
      <c r="I93" s="8" t="n"/>
      <c r="J93" s="8" t="n"/>
      <c r="K93" s="10">
        <f>IF(OR(F93="",SUMIFS($F:$F,$B:$B,B93,$E:$E,E93)=0),"",IF(SUMIFS($I:$I,$B:$B,B93,$E:$E,E93)&gt;0,N(I93)/SUMIFS($I:$I,$B:$B,B93,$E:$E,E93),F93/SUMIFS($F:$F,$B:$B,B93,$E:$E,E93)))</f>
        <v/>
      </c>
      <c r="L93" s="3">
        <f>IF(K93="","",K93*SUMIFS(Daily!$D:$D,Daily!$B:$B,B93,Daily!$A:$A,E93)+N(J93))</f>
        <v/>
      </c>
      <c r="M93" s="3">
        <f>IF(K93="","",K93*SUMIFS(Daily!$G:$G,Daily!$B:$B,B93,Daily!$A:$A,E93))</f>
        <v/>
      </c>
      <c r="N93" s="3">
        <f>IF(K93="","",K93*SUMIFS(Daily!$H:$H,Daily!$B:$B,B93,Daily!$A:$A,E93))</f>
        <v/>
      </c>
      <c r="O93" s="3">
        <f>IF(OR(M93="",F93=0),"",M93/F93*10000)</f>
        <v/>
      </c>
      <c r="P93" s="8" t="n"/>
      <c r="Q93" s="8" t="n"/>
      <c r="R93" s="6">
        <f>IF(OR(F93="",F93=0),"",N(I93)/F93)</f>
        <v/>
      </c>
      <c r="S93" s="3">
        <f>IF(OR(F93="",F93=0),"",(N(H93)+N(Q93))/F93*1000)</f>
        <v/>
      </c>
    </row>
    <row r="94">
      <c r="A94" s="8" t="n"/>
      <c r="B94" s="8" t="n"/>
      <c r="C94" s="8" t="n"/>
      <c r="D94" s="8" t="n"/>
      <c r="E94" s="9" t="n"/>
      <c r="F94" s="8" t="n"/>
      <c r="G94" s="8" t="n"/>
      <c r="H94" s="8" t="n"/>
      <c r="I94" s="8" t="n"/>
      <c r="J94" s="8" t="n"/>
      <c r="K94" s="10">
        <f>IF(OR(F94="",SUMIFS($F:$F,$B:$B,B94,$E:$E,E94)=0),"",IF(SUMIFS($I:$I,$B:$B,B94,$E:$E,E94)&gt;0,N(I94)/SUMIFS($I:$I,$B:$B,B94,$E:$E,E94),F94/SUMIFS($F:$F,$B:$B,B94,$E:$E,E94)))</f>
        <v/>
      </c>
      <c r="L94" s="3">
        <f>IF(K94="","",K94*SUMIFS(Daily!$D:$D,Daily!$B:$B,B94,Daily!$A:$A,E94)+N(J94))</f>
        <v/>
      </c>
      <c r="M94" s="3">
        <f>IF(K94="","",K94*SUMIFS(Daily!$G:$G,Daily!$B:$B,B94,Daily!$A:$A,E94))</f>
        <v/>
      </c>
      <c r="N94" s="3">
        <f>IF(K94="","",K94*SUMIFS(Daily!$H:$H,Daily!$B:$B,B94,Daily!$A:$A,E94))</f>
        <v/>
      </c>
      <c r="O94" s="3">
        <f>IF(OR(M94="",F94=0),"",M94/F94*10000)</f>
        <v/>
      </c>
      <c r="P94" s="8" t="n"/>
      <c r="Q94" s="8" t="n"/>
      <c r="R94" s="6">
        <f>IF(OR(F94="",F94=0),"",N(I94)/F94)</f>
        <v/>
      </c>
      <c r="S94" s="3">
        <f>IF(OR(F94="",F94=0),"",(N(H94)+N(Q94))/F94*1000)</f>
        <v/>
      </c>
    </row>
    <row r="95">
      <c r="A95" s="8" t="n"/>
      <c r="B95" s="8" t="n"/>
      <c r="C95" s="8" t="n"/>
      <c r="D95" s="8" t="n"/>
      <c r="E95" s="9" t="n"/>
      <c r="F95" s="8" t="n"/>
      <c r="G95" s="8" t="n"/>
      <c r="H95" s="8" t="n"/>
      <c r="I95" s="8" t="n"/>
      <c r="J95" s="8" t="n"/>
      <c r="K95" s="10">
        <f>IF(OR(F95="",SUMIFS($F:$F,$B:$B,B95,$E:$E,E95)=0),"",IF(SUMIFS($I:$I,$B:$B,B95,$E:$E,E95)&gt;0,N(I95)/SUMIFS($I:$I,$B:$B,B95,$E:$E,E95),F95/SUMIFS($F:$F,$B:$B,B95,$E:$E,E95)))</f>
        <v/>
      </c>
      <c r="L95" s="3">
        <f>IF(K95="","",K95*SUMIFS(Daily!$D:$D,Daily!$B:$B,B95,Daily!$A:$A,E95)+N(J95))</f>
        <v/>
      </c>
      <c r="M95" s="3">
        <f>IF(K95="","",K95*SUMIFS(Daily!$G:$G,Daily!$B:$B,B95,Daily!$A:$A,E95))</f>
        <v/>
      </c>
      <c r="N95" s="3">
        <f>IF(K95="","",K95*SUMIFS(Daily!$H:$H,Daily!$B:$B,B95,Daily!$A:$A,E95))</f>
        <v/>
      </c>
      <c r="O95" s="3">
        <f>IF(OR(M95="",F95=0),"",M95/F95*10000)</f>
        <v/>
      </c>
      <c r="P95" s="8" t="n"/>
      <c r="Q95" s="8" t="n"/>
      <c r="R95" s="6">
        <f>IF(OR(F95="",F95=0),"",N(I95)/F95)</f>
        <v/>
      </c>
      <c r="S95" s="3">
        <f>IF(OR(F95="",F95=0),"",(N(H95)+N(Q95))/F95*1000)</f>
        <v/>
      </c>
    </row>
    <row r="96">
      <c r="A96" s="8" t="n"/>
      <c r="B96" s="8" t="n"/>
      <c r="C96" s="8" t="n"/>
      <c r="D96" s="8" t="n"/>
      <c r="E96" s="9" t="n"/>
      <c r="F96" s="8" t="n"/>
      <c r="G96" s="8" t="n"/>
      <c r="H96" s="8" t="n"/>
      <c r="I96" s="8" t="n"/>
      <c r="J96" s="8" t="n"/>
      <c r="K96" s="10">
        <f>IF(OR(F96="",SUMIFS($F:$F,$B:$B,B96,$E:$E,E96)=0),"",IF(SUMIFS($I:$I,$B:$B,B96,$E:$E,E96)&gt;0,N(I96)/SUMIFS($I:$I,$B:$B,B96,$E:$E,E96),F96/SUMIFS($F:$F,$B:$B,B96,$E:$E,E96)))</f>
        <v/>
      </c>
      <c r="L96" s="3">
        <f>IF(K96="","",K96*SUMIFS(Daily!$D:$D,Daily!$B:$B,B96,Daily!$A:$A,E96)+N(J96))</f>
        <v/>
      </c>
      <c r="M96" s="3">
        <f>IF(K96="","",K96*SUMIFS(Daily!$G:$G,Daily!$B:$B,B96,Daily!$A:$A,E96))</f>
        <v/>
      </c>
      <c r="N96" s="3">
        <f>IF(K96="","",K96*SUMIFS(Daily!$H:$H,Daily!$B:$B,B96,Daily!$A:$A,E96))</f>
        <v/>
      </c>
      <c r="O96" s="3">
        <f>IF(OR(M96="",F96=0),"",M96/F96*10000)</f>
        <v/>
      </c>
      <c r="P96" s="8" t="n"/>
      <c r="Q96" s="8" t="n"/>
      <c r="R96" s="6">
        <f>IF(OR(F96="",F96=0),"",N(I96)/F96)</f>
        <v/>
      </c>
      <c r="S96" s="3">
        <f>IF(OR(F96="",F96=0),"",(N(H96)+N(Q96))/F96*1000)</f>
        <v/>
      </c>
    </row>
    <row r="97">
      <c r="A97" s="8" t="n"/>
      <c r="B97" s="8" t="n"/>
      <c r="C97" s="8" t="n"/>
      <c r="D97" s="8" t="n"/>
      <c r="E97" s="9" t="n"/>
      <c r="F97" s="8" t="n"/>
      <c r="G97" s="8" t="n"/>
      <c r="H97" s="8" t="n"/>
      <c r="I97" s="8" t="n"/>
      <c r="J97" s="8" t="n"/>
      <c r="K97" s="10">
        <f>IF(OR(F97="",SUMIFS($F:$F,$B:$B,B97,$E:$E,E97)=0),"",IF(SUMIFS($I:$I,$B:$B,B97,$E:$E,E97)&gt;0,N(I97)/SUMIFS($I:$I,$B:$B,B97,$E:$E,E97),F97/SUMIFS($F:$F,$B:$B,B97,$E:$E,E97)))</f>
        <v/>
      </c>
      <c r="L97" s="3">
        <f>IF(K97="","",K97*SUMIFS(Daily!$D:$D,Daily!$B:$B,B97,Daily!$A:$A,E97)+N(J97))</f>
        <v/>
      </c>
      <c r="M97" s="3">
        <f>IF(K97="","",K97*SUMIFS(Daily!$G:$G,Daily!$B:$B,B97,Daily!$A:$A,E97))</f>
        <v/>
      </c>
      <c r="N97" s="3">
        <f>IF(K97="","",K97*SUMIFS(Daily!$H:$H,Daily!$B:$B,B97,Daily!$A:$A,E97))</f>
        <v/>
      </c>
      <c r="O97" s="3">
        <f>IF(OR(M97="",F97=0),"",M97/F97*10000)</f>
        <v/>
      </c>
      <c r="P97" s="8" t="n"/>
      <c r="Q97" s="8" t="n"/>
      <c r="R97" s="6">
        <f>IF(OR(F97="",F97=0),"",N(I97)/F97)</f>
        <v/>
      </c>
      <c r="S97" s="3">
        <f>IF(OR(F97="",F97=0),"",(N(H97)+N(Q97))/F97*1000)</f>
        <v/>
      </c>
    </row>
    <row r="98">
      <c r="A98" s="8" t="n"/>
      <c r="B98" s="8" t="n"/>
      <c r="C98" s="8" t="n"/>
      <c r="D98" s="8" t="n"/>
      <c r="E98" s="9" t="n"/>
      <c r="F98" s="8" t="n"/>
      <c r="G98" s="8" t="n"/>
      <c r="H98" s="8" t="n"/>
      <c r="I98" s="8" t="n"/>
      <c r="J98" s="8" t="n"/>
      <c r="K98" s="10">
        <f>IF(OR(F98="",SUMIFS($F:$F,$B:$B,B98,$E:$E,E98)=0),"",IF(SUMIFS($I:$I,$B:$B,B98,$E:$E,E98)&gt;0,N(I98)/SUMIFS($I:$I,$B:$B,B98,$E:$E,E98),F98/SUMIFS($F:$F,$B:$B,B98,$E:$E,E98)))</f>
        <v/>
      </c>
      <c r="L98" s="3">
        <f>IF(K98="","",K98*SUMIFS(Daily!$D:$D,Daily!$B:$B,B98,Daily!$A:$A,E98)+N(J98))</f>
        <v/>
      </c>
      <c r="M98" s="3">
        <f>IF(K98="","",K98*SUMIFS(Daily!$G:$G,Daily!$B:$B,B98,Daily!$A:$A,E98))</f>
        <v/>
      </c>
      <c r="N98" s="3">
        <f>IF(K98="","",K98*SUMIFS(Daily!$H:$H,Daily!$B:$B,B98,Daily!$A:$A,E98))</f>
        <v/>
      </c>
      <c r="O98" s="3">
        <f>IF(OR(M98="",F98=0),"",M98/F98*10000)</f>
        <v/>
      </c>
      <c r="P98" s="8" t="n"/>
      <c r="Q98" s="8" t="n"/>
      <c r="R98" s="6">
        <f>IF(OR(F98="",F98=0),"",N(I98)/F98)</f>
        <v/>
      </c>
      <c r="S98" s="3">
        <f>IF(OR(F98="",F98=0),"",(N(H98)+N(Q98))/F98*1000)</f>
        <v/>
      </c>
    </row>
    <row r="99">
      <c r="A99" s="8" t="n"/>
      <c r="B99" s="8" t="n"/>
      <c r="C99" s="8" t="n"/>
      <c r="D99" s="8" t="n"/>
      <c r="E99" s="9" t="n"/>
      <c r="F99" s="8" t="n"/>
      <c r="G99" s="8" t="n"/>
      <c r="H99" s="8" t="n"/>
      <c r="I99" s="8" t="n"/>
      <c r="J99" s="8" t="n"/>
      <c r="K99" s="10">
        <f>IF(OR(F99="",SUMIFS($F:$F,$B:$B,B99,$E:$E,E99)=0),"",IF(SUMIFS($I:$I,$B:$B,B99,$E:$E,E99)&gt;0,N(I99)/SUMIFS($I:$I,$B:$B,B99,$E:$E,E99),F99/SUMIFS($F:$F,$B:$B,B99,$E:$E,E99)))</f>
        <v/>
      </c>
      <c r="L99" s="3">
        <f>IF(K99="","",K99*SUMIFS(Daily!$D:$D,Daily!$B:$B,B99,Daily!$A:$A,E99)+N(J99))</f>
        <v/>
      </c>
      <c r="M99" s="3">
        <f>IF(K99="","",K99*SUMIFS(Daily!$G:$G,Daily!$B:$B,B99,Daily!$A:$A,E99))</f>
        <v/>
      </c>
      <c r="N99" s="3">
        <f>IF(K99="","",K99*SUMIFS(Daily!$H:$H,Daily!$B:$B,B99,Daily!$A:$A,E99))</f>
        <v/>
      </c>
      <c r="O99" s="3">
        <f>IF(OR(M99="",F99=0),"",M99/F99*10000)</f>
        <v/>
      </c>
      <c r="P99" s="8" t="n"/>
      <c r="Q99" s="8" t="n"/>
      <c r="R99" s="6">
        <f>IF(OR(F99="",F99=0),"",N(I99)/F99)</f>
        <v/>
      </c>
      <c r="S99" s="3">
        <f>IF(OR(F99="",F99=0),"",(N(H99)+N(Q99))/F99*1000)</f>
        <v/>
      </c>
    </row>
    <row r="100">
      <c r="A100" s="8" t="n"/>
      <c r="B100" s="8" t="n"/>
      <c r="C100" s="8" t="n"/>
      <c r="D100" s="8" t="n"/>
      <c r="E100" s="9" t="n"/>
      <c r="F100" s="8" t="n"/>
      <c r="G100" s="8" t="n"/>
      <c r="H100" s="8" t="n"/>
      <c r="I100" s="8" t="n"/>
      <c r="J100" s="8" t="n"/>
      <c r="K100" s="10">
        <f>IF(OR(F100="",SUMIFS($F:$F,$B:$B,B100,$E:$E,E100)=0),"",IF(SUMIFS($I:$I,$B:$B,B100,$E:$E,E100)&gt;0,N(I100)/SUMIFS($I:$I,$B:$B,B100,$E:$E,E100),F100/SUMIFS($F:$F,$B:$B,B100,$E:$E,E100)))</f>
        <v/>
      </c>
      <c r="L100" s="3">
        <f>IF(K100="","",K100*SUMIFS(Daily!$D:$D,Daily!$B:$B,B100,Daily!$A:$A,E100)+N(J100))</f>
        <v/>
      </c>
      <c r="M100" s="3">
        <f>IF(K100="","",K100*SUMIFS(Daily!$G:$G,Daily!$B:$B,B100,Daily!$A:$A,E100))</f>
        <v/>
      </c>
      <c r="N100" s="3">
        <f>IF(K100="","",K100*SUMIFS(Daily!$H:$H,Daily!$B:$B,B100,Daily!$A:$A,E100))</f>
        <v/>
      </c>
      <c r="O100" s="3">
        <f>IF(OR(M100="",F100=0),"",M100/F100*10000)</f>
        <v/>
      </c>
      <c r="P100" s="8" t="n"/>
      <c r="Q100" s="8" t="n"/>
      <c r="R100" s="6">
        <f>IF(OR(F100="",F100=0),"",N(I100)/F100)</f>
        <v/>
      </c>
      <c r="S100" s="3">
        <f>IF(OR(F100="",F100=0),"",(N(H100)+N(Q100))/F100*1000)</f>
        <v/>
      </c>
    </row>
    <row r="101">
      <c r="A101" s="8" t="n"/>
      <c r="B101" s="8" t="n"/>
      <c r="C101" s="8" t="n"/>
      <c r="D101" s="8" t="n"/>
      <c r="E101" s="9" t="n"/>
      <c r="F101" s="8" t="n"/>
      <c r="G101" s="8" t="n"/>
      <c r="H101" s="8" t="n"/>
      <c r="I101" s="8" t="n"/>
      <c r="J101" s="8" t="n"/>
      <c r="K101" s="10">
        <f>IF(OR(F101="",SUMIFS($F:$F,$B:$B,B101,$E:$E,E101)=0),"",IF(SUMIFS($I:$I,$B:$B,B101,$E:$E,E101)&gt;0,N(I101)/SUMIFS($I:$I,$B:$B,B101,$E:$E,E101),F101/SUMIFS($F:$F,$B:$B,B101,$E:$E,E101)))</f>
        <v/>
      </c>
      <c r="L101" s="3">
        <f>IF(K101="","",K101*SUMIFS(Daily!$D:$D,Daily!$B:$B,B101,Daily!$A:$A,E101)+N(J101))</f>
        <v/>
      </c>
      <c r="M101" s="3">
        <f>IF(K101="","",K101*SUMIFS(Daily!$G:$G,Daily!$B:$B,B101,Daily!$A:$A,E101))</f>
        <v/>
      </c>
      <c r="N101" s="3">
        <f>IF(K101="","",K101*SUMIFS(Daily!$H:$H,Daily!$B:$B,B101,Daily!$A:$A,E101))</f>
        <v/>
      </c>
      <c r="O101" s="3">
        <f>IF(OR(M101="",F101=0),"",M101/F101*10000)</f>
        <v/>
      </c>
      <c r="P101" s="8" t="n"/>
      <c r="Q101" s="8" t="n"/>
      <c r="R101" s="6">
        <f>IF(OR(F101="",F101=0),"",N(I101)/F101)</f>
        <v/>
      </c>
      <c r="S101" s="3">
        <f>IF(OR(F101="",F101=0),"",(N(H101)+N(Q101))/F101*1000)</f>
        <v/>
      </c>
    </row>
    <row r="102">
      <c r="A102" s="8" t="n"/>
      <c r="B102" s="8" t="n"/>
      <c r="C102" s="8" t="n"/>
      <c r="D102" s="8" t="n"/>
      <c r="E102" s="9" t="n"/>
      <c r="F102" s="8" t="n"/>
      <c r="G102" s="8" t="n"/>
      <c r="H102" s="8" t="n"/>
      <c r="I102" s="8" t="n"/>
      <c r="J102" s="8" t="n"/>
      <c r="K102" s="10">
        <f>IF(OR(F102="",SUMIFS($F:$F,$B:$B,B102,$E:$E,E102)=0),"",IF(SUMIFS($I:$I,$B:$B,B102,$E:$E,E102)&gt;0,N(I102)/SUMIFS($I:$I,$B:$B,B102,$E:$E,E102),F102/SUMIFS($F:$F,$B:$B,B102,$E:$E,E102)))</f>
        <v/>
      </c>
      <c r="L102" s="3">
        <f>IF(K102="","",K102*SUMIFS(Daily!$D:$D,Daily!$B:$B,B102,Daily!$A:$A,E102)+N(J102))</f>
        <v/>
      </c>
      <c r="M102" s="3">
        <f>IF(K102="","",K102*SUMIFS(Daily!$G:$G,Daily!$B:$B,B102,Daily!$A:$A,E102))</f>
        <v/>
      </c>
      <c r="N102" s="3">
        <f>IF(K102="","",K102*SUMIFS(Daily!$H:$H,Daily!$B:$B,B102,Daily!$A:$A,E102))</f>
        <v/>
      </c>
      <c r="O102" s="3">
        <f>IF(OR(M102="",F102=0),"",M102/F102*10000)</f>
        <v/>
      </c>
      <c r="P102" s="8" t="n"/>
      <c r="Q102" s="8" t="n"/>
      <c r="R102" s="6">
        <f>IF(OR(F102="",F102=0),"",N(I102)/F102)</f>
        <v/>
      </c>
      <c r="S102" s="3">
        <f>IF(OR(F102="",F102=0),"",(N(H102)+N(Q102))/F102*1000)</f>
        <v/>
      </c>
    </row>
    <row r="103">
      <c r="A103" s="8" t="n"/>
      <c r="B103" s="8" t="n"/>
      <c r="C103" s="8" t="n"/>
      <c r="D103" s="8" t="n"/>
      <c r="E103" s="9" t="n"/>
      <c r="F103" s="8" t="n"/>
      <c r="G103" s="8" t="n"/>
      <c r="H103" s="8" t="n"/>
      <c r="I103" s="8" t="n"/>
      <c r="J103" s="8" t="n"/>
      <c r="K103" s="10">
        <f>IF(OR(F103="",SUMIFS($F:$F,$B:$B,B103,$E:$E,E103)=0),"",IF(SUMIFS($I:$I,$B:$B,B103,$E:$E,E103)&gt;0,N(I103)/SUMIFS($I:$I,$B:$B,B103,$E:$E,E103),F103/SUMIFS($F:$F,$B:$B,B103,$E:$E,E103)))</f>
        <v/>
      </c>
      <c r="L103" s="3">
        <f>IF(K103="","",K103*SUMIFS(Daily!$D:$D,Daily!$B:$B,B103,Daily!$A:$A,E103)+N(J103))</f>
        <v/>
      </c>
      <c r="M103" s="3">
        <f>IF(K103="","",K103*SUMIFS(Daily!$G:$G,Daily!$B:$B,B103,Daily!$A:$A,E103))</f>
        <v/>
      </c>
      <c r="N103" s="3">
        <f>IF(K103="","",K103*SUMIFS(Daily!$H:$H,Daily!$B:$B,B103,Daily!$A:$A,E103))</f>
        <v/>
      </c>
      <c r="O103" s="3">
        <f>IF(OR(M103="",F103=0),"",M103/F103*10000)</f>
        <v/>
      </c>
      <c r="P103" s="8" t="n"/>
      <c r="Q103" s="8" t="n"/>
      <c r="R103" s="6">
        <f>IF(OR(F103="",F103=0),"",N(I103)/F103)</f>
        <v/>
      </c>
      <c r="S103" s="3">
        <f>IF(OR(F103="",F103=0),"",(N(H103)+N(Q103))/F103*1000)</f>
        <v/>
      </c>
    </row>
    <row r="104">
      <c r="A104" s="8" t="n"/>
      <c r="B104" s="8" t="n"/>
      <c r="C104" s="8" t="n"/>
      <c r="D104" s="8" t="n"/>
      <c r="E104" s="9" t="n"/>
      <c r="F104" s="8" t="n"/>
      <c r="G104" s="8" t="n"/>
      <c r="H104" s="8" t="n"/>
      <c r="I104" s="8" t="n"/>
      <c r="J104" s="8" t="n"/>
      <c r="K104" s="10">
        <f>IF(OR(F104="",SUMIFS($F:$F,$B:$B,B104,$E:$E,E104)=0),"",IF(SUMIFS($I:$I,$B:$B,B104,$E:$E,E104)&gt;0,N(I104)/SUMIFS($I:$I,$B:$B,B104,$E:$E,E104),F104/SUMIFS($F:$F,$B:$B,B104,$E:$E,E104)))</f>
        <v/>
      </c>
      <c r="L104" s="3">
        <f>IF(K104="","",K104*SUMIFS(Daily!$D:$D,Daily!$B:$B,B104,Daily!$A:$A,E104)+N(J104))</f>
        <v/>
      </c>
      <c r="M104" s="3">
        <f>IF(K104="","",K104*SUMIFS(Daily!$G:$G,Daily!$B:$B,B104,Daily!$A:$A,E104))</f>
        <v/>
      </c>
      <c r="N104" s="3">
        <f>IF(K104="","",K104*SUMIFS(Daily!$H:$H,Daily!$B:$B,B104,Daily!$A:$A,E104))</f>
        <v/>
      </c>
      <c r="O104" s="3">
        <f>IF(OR(M104="",F104=0),"",M104/F104*10000)</f>
        <v/>
      </c>
      <c r="P104" s="8" t="n"/>
      <c r="Q104" s="8" t="n"/>
      <c r="R104" s="6">
        <f>IF(OR(F104="",F104=0),"",N(I104)/F104)</f>
        <v/>
      </c>
      <c r="S104" s="3">
        <f>IF(OR(F104="",F104=0),"",(N(H104)+N(Q104))/F104*1000)</f>
        <v/>
      </c>
    </row>
    <row r="105">
      <c r="A105" s="8" t="n"/>
      <c r="B105" s="8" t="n"/>
      <c r="C105" s="8" t="n"/>
      <c r="D105" s="8" t="n"/>
      <c r="E105" s="9" t="n"/>
      <c r="F105" s="8" t="n"/>
      <c r="G105" s="8" t="n"/>
      <c r="H105" s="8" t="n"/>
      <c r="I105" s="8" t="n"/>
      <c r="J105" s="8" t="n"/>
      <c r="K105" s="10">
        <f>IF(OR(F105="",SUMIFS($F:$F,$B:$B,B105,$E:$E,E105)=0),"",IF(SUMIFS($I:$I,$B:$B,B105,$E:$E,E105)&gt;0,N(I105)/SUMIFS($I:$I,$B:$B,B105,$E:$E,E105),F105/SUMIFS($F:$F,$B:$B,B105,$E:$E,E105)))</f>
        <v/>
      </c>
      <c r="L105" s="3">
        <f>IF(K105="","",K105*SUMIFS(Daily!$D:$D,Daily!$B:$B,B105,Daily!$A:$A,E105)+N(J105))</f>
        <v/>
      </c>
      <c r="M105" s="3">
        <f>IF(K105="","",K105*SUMIFS(Daily!$G:$G,Daily!$B:$B,B105,Daily!$A:$A,E105))</f>
        <v/>
      </c>
      <c r="N105" s="3">
        <f>IF(K105="","",K105*SUMIFS(Daily!$H:$H,Daily!$B:$B,B105,Daily!$A:$A,E105))</f>
        <v/>
      </c>
      <c r="O105" s="3">
        <f>IF(OR(M105="",F105=0),"",M105/F105*10000)</f>
        <v/>
      </c>
      <c r="P105" s="8" t="n"/>
      <c r="Q105" s="8" t="n"/>
      <c r="R105" s="6">
        <f>IF(OR(F105="",F105=0),"",N(I105)/F105)</f>
        <v/>
      </c>
      <c r="S105" s="3">
        <f>IF(OR(F105="",F105=0),"",(N(H105)+N(Q105))/F105*1000)</f>
        <v/>
      </c>
    </row>
    <row r="106">
      <c r="A106" s="8" t="n"/>
      <c r="B106" s="8" t="n"/>
      <c r="C106" s="8" t="n"/>
      <c r="D106" s="8" t="n"/>
      <c r="E106" s="9" t="n"/>
      <c r="F106" s="8" t="n"/>
      <c r="G106" s="8" t="n"/>
      <c r="H106" s="8" t="n"/>
      <c r="I106" s="8" t="n"/>
      <c r="J106" s="8" t="n"/>
      <c r="K106" s="10">
        <f>IF(OR(F106="",SUMIFS($F:$F,$B:$B,B106,$E:$E,E106)=0),"",IF(SUMIFS($I:$I,$B:$B,B106,$E:$E,E106)&gt;0,N(I106)/SUMIFS($I:$I,$B:$B,B106,$E:$E,E106),F106/SUMIFS($F:$F,$B:$B,B106,$E:$E,E106)))</f>
        <v/>
      </c>
      <c r="L106" s="3">
        <f>IF(K106="","",K106*SUMIFS(Daily!$D:$D,Daily!$B:$B,B106,Daily!$A:$A,E106)+N(J106))</f>
        <v/>
      </c>
      <c r="M106" s="3">
        <f>IF(K106="","",K106*SUMIFS(Daily!$G:$G,Daily!$B:$B,B106,Daily!$A:$A,E106))</f>
        <v/>
      </c>
      <c r="N106" s="3">
        <f>IF(K106="","",K106*SUMIFS(Daily!$H:$H,Daily!$B:$B,B106,Daily!$A:$A,E106))</f>
        <v/>
      </c>
      <c r="O106" s="3">
        <f>IF(OR(M106="",F106=0),"",M106/F106*10000)</f>
        <v/>
      </c>
      <c r="P106" s="8" t="n"/>
      <c r="Q106" s="8" t="n"/>
      <c r="R106" s="6">
        <f>IF(OR(F106="",F106=0),"",N(I106)/F106)</f>
        <v/>
      </c>
      <c r="S106" s="3">
        <f>IF(OR(F106="",F106=0),"",(N(H106)+N(Q106))/F106*1000)</f>
        <v/>
      </c>
    </row>
    <row r="107">
      <c r="A107" s="8" t="n"/>
      <c r="B107" s="8" t="n"/>
      <c r="C107" s="8" t="n"/>
      <c r="D107" s="8" t="n"/>
      <c r="E107" s="9" t="n"/>
      <c r="F107" s="8" t="n"/>
      <c r="G107" s="8" t="n"/>
      <c r="H107" s="8" t="n"/>
      <c r="I107" s="8" t="n"/>
      <c r="J107" s="8" t="n"/>
      <c r="K107" s="10">
        <f>IF(OR(F107="",SUMIFS($F:$F,$B:$B,B107,$E:$E,E107)=0),"",IF(SUMIFS($I:$I,$B:$B,B107,$E:$E,E107)&gt;0,N(I107)/SUMIFS($I:$I,$B:$B,B107,$E:$E,E107),F107/SUMIFS($F:$F,$B:$B,B107,$E:$E,E107)))</f>
        <v/>
      </c>
      <c r="L107" s="3">
        <f>IF(K107="","",K107*SUMIFS(Daily!$D:$D,Daily!$B:$B,B107,Daily!$A:$A,E107)+N(J107))</f>
        <v/>
      </c>
      <c r="M107" s="3">
        <f>IF(K107="","",K107*SUMIFS(Daily!$G:$G,Daily!$B:$B,B107,Daily!$A:$A,E107))</f>
        <v/>
      </c>
      <c r="N107" s="3">
        <f>IF(K107="","",K107*SUMIFS(Daily!$H:$H,Daily!$B:$B,B107,Daily!$A:$A,E107))</f>
        <v/>
      </c>
      <c r="O107" s="3">
        <f>IF(OR(M107="",F107=0),"",M107/F107*10000)</f>
        <v/>
      </c>
      <c r="P107" s="8" t="n"/>
      <c r="Q107" s="8" t="n"/>
      <c r="R107" s="6">
        <f>IF(OR(F107="",F107=0),"",N(I107)/F107)</f>
        <v/>
      </c>
      <c r="S107" s="3">
        <f>IF(OR(F107="",F107=0),"",(N(H107)+N(Q107))/F107*1000)</f>
        <v/>
      </c>
    </row>
    <row r="108">
      <c r="A108" s="8" t="n"/>
      <c r="B108" s="8" t="n"/>
      <c r="C108" s="8" t="n"/>
      <c r="D108" s="8" t="n"/>
      <c r="E108" s="9" t="n"/>
      <c r="F108" s="8" t="n"/>
      <c r="G108" s="8" t="n"/>
      <c r="H108" s="8" t="n"/>
      <c r="I108" s="8" t="n"/>
      <c r="J108" s="8" t="n"/>
      <c r="K108" s="10">
        <f>IF(OR(F108="",SUMIFS($F:$F,$B:$B,B108,$E:$E,E108)=0),"",IF(SUMIFS($I:$I,$B:$B,B108,$E:$E,E108)&gt;0,N(I108)/SUMIFS($I:$I,$B:$B,B108,$E:$E,E108),F108/SUMIFS($F:$F,$B:$B,B108,$E:$E,E108)))</f>
        <v/>
      </c>
      <c r="L108" s="3">
        <f>IF(K108="","",K108*SUMIFS(Daily!$D:$D,Daily!$B:$B,B108,Daily!$A:$A,E108)+N(J108))</f>
        <v/>
      </c>
      <c r="M108" s="3">
        <f>IF(K108="","",K108*SUMIFS(Daily!$G:$G,Daily!$B:$B,B108,Daily!$A:$A,E108))</f>
        <v/>
      </c>
      <c r="N108" s="3">
        <f>IF(K108="","",K108*SUMIFS(Daily!$H:$H,Daily!$B:$B,B108,Daily!$A:$A,E108))</f>
        <v/>
      </c>
      <c r="O108" s="3">
        <f>IF(OR(M108="",F108=0),"",M108/F108*10000)</f>
        <v/>
      </c>
      <c r="P108" s="8" t="n"/>
      <c r="Q108" s="8" t="n"/>
      <c r="R108" s="6">
        <f>IF(OR(F108="",F108=0),"",N(I108)/F108)</f>
        <v/>
      </c>
      <c r="S108" s="3">
        <f>IF(OR(F108="",F108=0),"",(N(H108)+N(Q108))/F108*1000)</f>
        <v/>
      </c>
    </row>
    <row r="109">
      <c r="A109" s="8" t="n"/>
      <c r="B109" s="8" t="n"/>
      <c r="C109" s="8" t="n"/>
      <c r="D109" s="8" t="n"/>
      <c r="E109" s="9" t="n"/>
      <c r="F109" s="8" t="n"/>
      <c r="G109" s="8" t="n"/>
      <c r="H109" s="8" t="n"/>
      <c r="I109" s="8" t="n"/>
      <c r="J109" s="8" t="n"/>
      <c r="K109" s="10">
        <f>IF(OR(F109="",SUMIFS($F:$F,$B:$B,B109,$E:$E,E109)=0),"",IF(SUMIFS($I:$I,$B:$B,B109,$E:$E,E109)&gt;0,N(I109)/SUMIFS($I:$I,$B:$B,B109,$E:$E,E109),F109/SUMIFS($F:$F,$B:$B,B109,$E:$E,E109)))</f>
        <v/>
      </c>
      <c r="L109" s="3">
        <f>IF(K109="","",K109*SUMIFS(Daily!$D:$D,Daily!$B:$B,B109,Daily!$A:$A,E109)+N(J109))</f>
        <v/>
      </c>
      <c r="M109" s="3">
        <f>IF(K109="","",K109*SUMIFS(Daily!$G:$G,Daily!$B:$B,B109,Daily!$A:$A,E109))</f>
        <v/>
      </c>
      <c r="N109" s="3">
        <f>IF(K109="","",K109*SUMIFS(Daily!$H:$H,Daily!$B:$B,B109,Daily!$A:$A,E109))</f>
        <v/>
      </c>
      <c r="O109" s="3">
        <f>IF(OR(M109="",F109=0),"",M109/F109*10000)</f>
        <v/>
      </c>
      <c r="P109" s="8" t="n"/>
      <c r="Q109" s="8" t="n"/>
      <c r="R109" s="6">
        <f>IF(OR(F109="",F109=0),"",N(I109)/F109)</f>
        <v/>
      </c>
      <c r="S109" s="3">
        <f>IF(OR(F109="",F109=0),"",(N(H109)+N(Q109))/F109*1000)</f>
        <v/>
      </c>
    </row>
    <row r="110">
      <c r="A110" s="8" t="n"/>
      <c r="B110" s="8" t="n"/>
      <c r="C110" s="8" t="n"/>
      <c r="D110" s="8" t="n"/>
      <c r="E110" s="9" t="n"/>
      <c r="F110" s="8" t="n"/>
      <c r="G110" s="8" t="n"/>
      <c r="H110" s="8" t="n"/>
      <c r="I110" s="8" t="n"/>
      <c r="J110" s="8" t="n"/>
      <c r="K110" s="10">
        <f>IF(OR(F110="",SUMIFS($F:$F,$B:$B,B110,$E:$E,E110)=0),"",IF(SUMIFS($I:$I,$B:$B,B110,$E:$E,E110)&gt;0,N(I110)/SUMIFS($I:$I,$B:$B,B110,$E:$E,E110),F110/SUMIFS($F:$F,$B:$B,B110,$E:$E,E110)))</f>
        <v/>
      </c>
      <c r="L110" s="3">
        <f>IF(K110="","",K110*SUMIFS(Daily!$D:$D,Daily!$B:$B,B110,Daily!$A:$A,E110)+N(J110))</f>
        <v/>
      </c>
      <c r="M110" s="3">
        <f>IF(K110="","",K110*SUMIFS(Daily!$G:$G,Daily!$B:$B,B110,Daily!$A:$A,E110))</f>
        <v/>
      </c>
      <c r="N110" s="3">
        <f>IF(K110="","",K110*SUMIFS(Daily!$H:$H,Daily!$B:$B,B110,Daily!$A:$A,E110))</f>
        <v/>
      </c>
      <c r="O110" s="3">
        <f>IF(OR(M110="",F110=0),"",M110/F110*10000)</f>
        <v/>
      </c>
      <c r="P110" s="8" t="n"/>
      <c r="Q110" s="8" t="n"/>
      <c r="R110" s="6">
        <f>IF(OR(F110="",F110=0),"",N(I110)/F110)</f>
        <v/>
      </c>
      <c r="S110" s="3">
        <f>IF(OR(F110="",F110=0),"",(N(H110)+N(Q110))/F110*1000)</f>
        <v/>
      </c>
    </row>
    <row r="111">
      <c r="A111" s="8" t="n"/>
      <c r="B111" s="8" t="n"/>
      <c r="C111" s="8" t="n"/>
      <c r="D111" s="8" t="n"/>
      <c r="E111" s="9" t="n"/>
      <c r="F111" s="8" t="n"/>
      <c r="G111" s="8" t="n"/>
      <c r="H111" s="8" t="n"/>
      <c r="I111" s="8" t="n"/>
      <c r="J111" s="8" t="n"/>
      <c r="K111" s="10">
        <f>IF(OR(F111="",SUMIFS($F:$F,$B:$B,B111,$E:$E,E111)=0),"",IF(SUMIFS($I:$I,$B:$B,B111,$E:$E,E111)&gt;0,N(I111)/SUMIFS($I:$I,$B:$B,B111,$E:$E,E111),F111/SUMIFS($F:$F,$B:$B,B111,$E:$E,E111)))</f>
        <v/>
      </c>
      <c r="L111" s="3">
        <f>IF(K111="","",K111*SUMIFS(Daily!$D:$D,Daily!$B:$B,B111,Daily!$A:$A,E111)+N(J111))</f>
        <v/>
      </c>
      <c r="M111" s="3">
        <f>IF(K111="","",K111*SUMIFS(Daily!$G:$G,Daily!$B:$B,B111,Daily!$A:$A,E111))</f>
        <v/>
      </c>
      <c r="N111" s="3">
        <f>IF(K111="","",K111*SUMIFS(Daily!$H:$H,Daily!$B:$B,B111,Daily!$A:$A,E111))</f>
        <v/>
      </c>
      <c r="O111" s="3">
        <f>IF(OR(M111="",F111=0),"",M111/F111*10000)</f>
        <v/>
      </c>
      <c r="P111" s="8" t="n"/>
      <c r="Q111" s="8" t="n"/>
      <c r="R111" s="6">
        <f>IF(OR(F111="",F111=0),"",N(I111)/F111)</f>
        <v/>
      </c>
      <c r="S111" s="3">
        <f>IF(OR(F111="",F111=0),"",(N(H111)+N(Q111))/F111*1000)</f>
        <v/>
      </c>
    </row>
    <row r="112">
      <c r="A112" s="8" t="n"/>
      <c r="B112" s="8" t="n"/>
      <c r="C112" s="8" t="n"/>
      <c r="D112" s="8" t="n"/>
      <c r="E112" s="9" t="n"/>
      <c r="F112" s="8" t="n"/>
      <c r="G112" s="8" t="n"/>
      <c r="H112" s="8" t="n"/>
      <c r="I112" s="8" t="n"/>
      <c r="J112" s="8" t="n"/>
      <c r="K112" s="10">
        <f>IF(OR(F112="",SUMIFS($F:$F,$B:$B,B112,$E:$E,E112)=0),"",IF(SUMIFS($I:$I,$B:$B,B112,$E:$E,E112)&gt;0,N(I112)/SUMIFS($I:$I,$B:$B,B112,$E:$E,E112),F112/SUMIFS($F:$F,$B:$B,B112,$E:$E,E112)))</f>
        <v/>
      </c>
      <c r="L112" s="3">
        <f>IF(K112="","",K112*SUMIFS(Daily!$D:$D,Daily!$B:$B,B112,Daily!$A:$A,E112)+N(J112))</f>
        <v/>
      </c>
      <c r="M112" s="3">
        <f>IF(K112="","",K112*SUMIFS(Daily!$G:$G,Daily!$B:$B,B112,Daily!$A:$A,E112))</f>
        <v/>
      </c>
      <c r="N112" s="3">
        <f>IF(K112="","",K112*SUMIFS(Daily!$H:$H,Daily!$B:$B,B112,Daily!$A:$A,E112))</f>
        <v/>
      </c>
      <c r="O112" s="3">
        <f>IF(OR(M112="",F112=0),"",M112/F112*10000)</f>
        <v/>
      </c>
      <c r="P112" s="8" t="n"/>
      <c r="Q112" s="8" t="n"/>
      <c r="R112" s="6">
        <f>IF(OR(F112="",F112=0),"",N(I112)/F112)</f>
        <v/>
      </c>
      <c r="S112" s="3">
        <f>IF(OR(F112="",F112=0),"",(N(H112)+N(Q112))/F112*1000)</f>
        <v/>
      </c>
    </row>
    <row r="113">
      <c r="A113" s="8" t="n"/>
      <c r="B113" s="8" t="n"/>
      <c r="C113" s="8" t="n"/>
      <c r="D113" s="8" t="n"/>
      <c r="E113" s="9" t="n"/>
      <c r="F113" s="8" t="n"/>
      <c r="G113" s="8" t="n"/>
      <c r="H113" s="8" t="n"/>
      <c r="I113" s="8" t="n"/>
      <c r="J113" s="8" t="n"/>
      <c r="K113" s="10">
        <f>IF(OR(F113="",SUMIFS($F:$F,$B:$B,B113,$E:$E,E113)=0),"",IF(SUMIFS($I:$I,$B:$B,B113,$E:$E,E113)&gt;0,N(I113)/SUMIFS($I:$I,$B:$B,B113,$E:$E,E113),F113/SUMIFS($F:$F,$B:$B,B113,$E:$E,E113)))</f>
        <v/>
      </c>
      <c r="L113" s="3">
        <f>IF(K113="","",K113*SUMIFS(Daily!$D:$D,Daily!$B:$B,B113,Daily!$A:$A,E113)+N(J113))</f>
        <v/>
      </c>
      <c r="M113" s="3">
        <f>IF(K113="","",K113*SUMIFS(Daily!$G:$G,Daily!$B:$B,B113,Daily!$A:$A,E113))</f>
        <v/>
      </c>
      <c r="N113" s="3">
        <f>IF(K113="","",K113*SUMIFS(Daily!$H:$H,Daily!$B:$B,B113,Daily!$A:$A,E113))</f>
        <v/>
      </c>
      <c r="O113" s="3">
        <f>IF(OR(M113="",F113=0),"",M113/F113*10000)</f>
        <v/>
      </c>
      <c r="P113" s="8" t="n"/>
      <c r="Q113" s="8" t="n"/>
      <c r="R113" s="6">
        <f>IF(OR(F113="",F113=0),"",N(I113)/F113)</f>
        <v/>
      </c>
      <c r="S113" s="3">
        <f>IF(OR(F113="",F113=0),"",(N(H113)+N(Q113))/F113*1000)</f>
        <v/>
      </c>
    </row>
    <row r="114">
      <c r="A114" s="8" t="n"/>
      <c r="B114" s="8" t="n"/>
      <c r="C114" s="8" t="n"/>
      <c r="D114" s="8" t="n"/>
      <c r="E114" s="9" t="n"/>
      <c r="F114" s="8" t="n"/>
      <c r="G114" s="8" t="n"/>
      <c r="H114" s="8" t="n"/>
      <c r="I114" s="8" t="n"/>
      <c r="J114" s="8" t="n"/>
      <c r="K114" s="10">
        <f>IF(OR(F114="",SUMIFS($F:$F,$B:$B,B114,$E:$E,E114)=0),"",IF(SUMIFS($I:$I,$B:$B,B114,$E:$E,E114)&gt;0,N(I114)/SUMIFS($I:$I,$B:$B,B114,$E:$E,E114),F114/SUMIFS($F:$F,$B:$B,B114,$E:$E,E114)))</f>
        <v/>
      </c>
      <c r="L114" s="3">
        <f>IF(K114="","",K114*SUMIFS(Daily!$D:$D,Daily!$B:$B,B114,Daily!$A:$A,E114)+N(J114))</f>
        <v/>
      </c>
      <c r="M114" s="3">
        <f>IF(K114="","",K114*SUMIFS(Daily!$G:$G,Daily!$B:$B,B114,Daily!$A:$A,E114))</f>
        <v/>
      </c>
      <c r="N114" s="3">
        <f>IF(K114="","",K114*SUMIFS(Daily!$H:$H,Daily!$B:$B,B114,Daily!$A:$A,E114))</f>
        <v/>
      </c>
      <c r="O114" s="3">
        <f>IF(OR(M114="",F114=0),"",M114/F114*10000)</f>
        <v/>
      </c>
      <c r="P114" s="8" t="n"/>
      <c r="Q114" s="8" t="n"/>
      <c r="R114" s="6">
        <f>IF(OR(F114="",F114=0),"",N(I114)/F114)</f>
        <v/>
      </c>
      <c r="S114" s="3">
        <f>IF(OR(F114="",F114=0),"",(N(H114)+N(Q114))/F114*1000)</f>
        <v/>
      </c>
    </row>
    <row r="115">
      <c r="A115" s="8" t="n"/>
      <c r="B115" s="8" t="n"/>
      <c r="C115" s="8" t="n"/>
      <c r="D115" s="8" t="n"/>
      <c r="E115" s="9" t="n"/>
      <c r="F115" s="8" t="n"/>
      <c r="G115" s="8" t="n"/>
      <c r="H115" s="8" t="n"/>
      <c r="I115" s="8" t="n"/>
      <c r="J115" s="8" t="n"/>
      <c r="K115" s="10">
        <f>IF(OR(F115="",SUMIFS($F:$F,$B:$B,B115,$E:$E,E115)=0),"",IF(SUMIFS($I:$I,$B:$B,B115,$E:$E,E115)&gt;0,N(I115)/SUMIFS($I:$I,$B:$B,B115,$E:$E,E115),F115/SUMIFS($F:$F,$B:$B,B115,$E:$E,E115)))</f>
        <v/>
      </c>
      <c r="L115" s="3">
        <f>IF(K115="","",K115*SUMIFS(Daily!$D:$D,Daily!$B:$B,B115,Daily!$A:$A,E115)+N(J115))</f>
        <v/>
      </c>
      <c r="M115" s="3">
        <f>IF(K115="","",K115*SUMIFS(Daily!$G:$G,Daily!$B:$B,B115,Daily!$A:$A,E115))</f>
        <v/>
      </c>
      <c r="N115" s="3">
        <f>IF(K115="","",K115*SUMIFS(Daily!$H:$H,Daily!$B:$B,B115,Daily!$A:$A,E115))</f>
        <v/>
      </c>
      <c r="O115" s="3">
        <f>IF(OR(M115="",F115=0),"",M115/F115*10000)</f>
        <v/>
      </c>
      <c r="P115" s="8" t="n"/>
      <c r="Q115" s="8" t="n"/>
      <c r="R115" s="6">
        <f>IF(OR(F115="",F115=0),"",N(I115)/F115)</f>
        <v/>
      </c>
      <c r="S115" s="3">
        <f>IF(OR(F115="",F115=0),"",(N(H115)+N(Q115))/F115*1000)</f>
        <v/>
      </c>
    </row>
    <row r="116">
      <c r="A116" s="8" t="n"/>
      <c r="B116" s="8" t="n"/>
      <c r="C116" s="8" t="n"/>
      <c r="D116" s="8" t="n"/>
      <c r="E116" s="9" t="n"/>
      <c r="F116" s="8" t="n"/>
      <c r="G116" s="8" t="n"/>
      <c r="H116" s="8" t="n"/>
      <c r="I116" s="8" t="n"/>
      <c r="J116" s="8" t="n"/>
      <c r="K116" s="10">
        <f>IF(OR(F116="",SUMIFS($F:$F,$B:$B,B116,$E:$E,E116)=0),"",IF(SUMIFS($I:$I,$B:$B,B116,$E:$E,E116)&gt;0,N(I116)/SUMIFS($I:$I,$B:$B,B116,$E:$E,E116),F116/SUMIFS($F:$F,$B:$B,B116,$E:$E,E116)))</f>
        <v/>
      </c>
      <c r="L116" s="3">
        <f>IF(K116="","",K116*SUMIFS(Daily!$D:$D,Daily!$B:$B,B116,Daily!$A:$A,E116)+N(J116))</f>
        <v/>
      </c>
      <c r="M116" s="3">
        <f>IF(K116="","",K116*SUMIFS(Daily!$G:$G,Daily!$B:$B,B116,Daily!$A:$A,E116))</f>
        <v/>
      </c>
      <c r="N116" s="3">
        <f>IF(K116="","",K116*SUMIFS(Daily!$H:$H,Daily!$B:$B,B116,Daily!$A:$A,E116))</f>
        <v/>
      </c>
      <c r="O116" s="3">
        <f>IF(OR(M116="",F116=0),"",M116/F116*10000)</f>
        <v/>
      </c>
      <c r="P116" s="8" t="n"/>
      <c r="Q116" s="8" t="n"/>
      <c r="R116" s="6">
        <f>IF(OR(F116="",F116=0),"",N(I116)/F116)</f>
        <v/>
      </c>
      <c r="S116" s="3">
        <f>IF(OR(F116="",F116=0),"",(N(H116)+N(Q116))/F116*1000)</f>
        <v/>
      </c>
    </row>
    <row r="117">
      <c r="A117" s="8" t="n"/>
      <c r="B117" s="8" t="n"/>
      <c r="C117" s="8" t="n"/>
      <c r="D117" s="8" t="n"/>
      <c r="E117" s="9" t="n"/>
      <c r="F117" s="8" t="n"/>
      <c r="G117" s="8" t="n"/>
      <c r="H117" s="8" t="n"/>
      <c r="I117" s="8" t="n"/>
      <c r="J117" s="8" t="n"/>
      <c r="K117" s="10">
        <f>IF(OR(F117="",SUMIFS($F:$F,$B:$B,B117,$E:$E,E117)=0),"",IF(SUMIFS($I:$I,$B:$B,B117,$E:$E,E117)&gt;0,N(I117)/SUMIFS($I:$I,$B:$B,B117,$E:$E,E117),F117/SUMIFS($F:$F,$B:$B,B117,$E:$E,E117)))</f>
        <v/>
      </c>
      <c r="L117" s="3">
        <f>IF(K117="","",K117*SUMIFS(Daily!$D:$D,Daily!$B:$B,B117,Daily!$A:$A,E117)+N(J117))</f>
        <v/>
      </c>
      <c r="M117" s="3">
        <f>IF(K117="","",K117*SUMIFS(Daily!$G:$G,Daily!$B:$B,B117,Daily!$A:$A,E117))</f>
        <v/>
      </c>
      <c r="N117" s="3">
        <f>IF(K117="","",K117*SUMIFS(Daily!$H:$H,Daily!$B:$B,B117,Daily!$A:$A,E117))</f>
        <v/>
      </c>
      <c r="O117" s="3">
        <f>IF(OR(M117="",F117=0),"",M117/F117*10000)</f>
        <v/>
      </c>
      <c r="P117" s="8" t="n"/>
      <c r="Q117" s="8" t="n"/>
      <c r="R117" s="6">
        <f>IF(OR(F117="",F117=0),"",N(I117)/F117)</f>
        <v/>
      </c>
      <c r="S117" s="3">
        <f>IF(OR(F117="",F117=0),"",(N(H117)+N(Q117))/F117*1000)</f>
        <v/>
      </c>
    </row>
    <row r="118">
      <c r="A118" s="8" t="n"/>
      <c r="B118" s="8" t="n"/>
      <c r="C118" s="8" t="n"/>
      <c r="D118" s="8" t="n"/>
      <c r="E118" s="9" t="n"/>
      <c r="F118" s="8" t="n"/>
      <c r="G118" s="8" t="n"/>
      <c r="H118" s="8" t="n"/>
      <c r="I118" s="8" t="n"/>
      <c r="J118" s="8" t="n"/>
      <c r="K118" s="10">
        <f>IF(OR(F118="",SUMIFS($F:$F,$B:$B,B118,$E:$E,E118)=0),"",IF(SUMIFS($I:$I,$B:$B,B118,$E:$E,E118)&gt;0,N(I118)/SUMIFS($I:$I,$B:$B,B118,$E:$E,E118),F118/SUMIFS($F:$F,$B:$B,B118,$E:$E,E118)))</f>
        <v/>
      </c>
      <c r="L118" s="3">
        <f>IF(K118="","",K118*SUMIFS(Daily!$D:$D,Daily!$B:$B,B118,Daily!$A:$A,E118)+N(J118))</f>
        <v/>
      </c>
      <c r="M118" s="3">
        <f>IF(K118="","",K118*SUMIFS(Daily!$G:$G,Daily!$B:$B,B118,Daily!$A:$A,E118))</f>
        <v/>
      </c>
      <c r="N118" s="3">
        <f>IF(K118="","",K118*SUMIFS(Daily!$H:$H,Daily!$B:$B,B118,Daily!$A:$A,E118))</f>
        <v/>
      </c>
      <c r="O118" s="3">
        <f>IF(OR(M118="",F118=0),"",M118/F118*10000)</f>
        <v/>
      </c>
      <c r="P118" s="8" t="n"/>
      <c r="Q118" s="8" t="n"/>
      <c r="R118" s="6">
        <f>IF(OR(F118="",F118=0),"",N(I118)/F118)</f>
        <v/>
      </c>
      <c r="S118" s="3">
        <f>IF(OR(F118="",F118=0),"",(N(H118)+N(Q118))/F118*1000)</f>
        <v/>
      </c>
    </row>
    <row r="119">
      <c r="A119" s="8" t="n"/>
      <c r="B119" s="8" t="n"/>
      <c r="C119" s="8" t="n"/>
      <c r="D119" s="8" t="n"/>
      <c r="E119" s="9" t="n"/>
      <c r="F119" s="8" t="n"/>
      <c r="G119" s="8" t="n"/>
      <c r="H119" s="8" t="n"/>
      <c r="I119" s="8" t="n"/>
      <c r="J119" s="8" t="n"/>
      <c r="K119" s="10">
        <f>IF(OR(F119="",SUMIFS($F:$F,$B:$B,B119,$E:$E,E119)=0),"",IF(SUMIFS($I:$I,$B:$B,B119,$E:$E,E119)&gt;0,N(I119)/SUMIFS($I:$I,$B:$B,B119,$E:$E,E119),F119/SUMIFS($F:$F,$B:$B,B119,$E:$E,E119)))</f>
        <v/>
      </c>
      <c r="L119" s="3">
        <f>IF(K119="","",K119*SUMIFS(Daily!$D:$D,Daily!$B:$B,B119,Daily!$A:$A,E119)+N(J119))</f>
        <v/>
      </c>
      <c r="M119" s="3">
        <f>IF(K119="","",K119*SUMIFS(Daily!$G:$G,Daily!$B:$B,B119,Daily!$A:$A,E119))</f>
        <v/>
      </c>
      <c r="N119" s="3">
        <f>IF(K119="","",K119*SUMIFS(Daily!$H:$H,Daily!$B:$B,B119,Daily!$A:$A,E119))</f>
        <v/>
      </c>
      <c r="O119" s="3">
        <f>IF(OR(M119="",F119=0),"",M119/F119*10000)</f>
        <v/>
      </c>
      <c r="P119" s="8" t="n"/>
      <c r="Q119" s="8" t="n"/>
      <c r="R119" s="6">
        <f>IF(OR(F119="",F119=0),"",N(I119)/F119)</f>
        <v/>
      </c>
      <c r="S119" s="3">
        <f>IF(OR(F119="",F119=0),"",(N(H119)+N(Q119))/F119*1000)</f>
        <v/>
      </c>
    </row>
    <row r="120">
      <c r="A120" s="8" t="n"/>
      <c r="B120" s="8" t="n"/>
      <c r="C120" s="8" t="n"/>
      <c r="D120" s="8" t="n"/>
      <c r="E120" s="9" t="n"/>
      <c r="F120" s="8" t="n"/>
      <c r="G120" s="8" t="n"/>
      <c r="H120" s="8" t="n"/>
      <c r="I120" s="8" t="n"/>
      <c r="J120" s="8" t="n"/>
      <c r="K120" s="10">
        <f>IF(OR(F120="",SUMIFS($F:$F,$B:$B,B120,$E:$E,E120)=0),"",IF(SUMIFS($I:$I,$B:$B,B120,$E:$E,E120)&gt;0,N(I120)/SUMIFS($I:$I,$B:$B,B120,$E:$E,E120),F120/SUMIFS($F:$F,$B:$B,B120,$E:$E,E120)))</f>
        <v/>
      </c>
      <c r="L120" s="3">
        <f>IF(K120="","",K120*SUMIFS(Daily!$D:$D,Daily!$B:$B,B120,Daily!$A:$A,E120)+N(J120))</f>
        <v/>
      </c>
      <c r="M120" s="3">
        <f>IF(K120="","",K120*SUMIFS(Daily!$G:$G,Daily!$B:$B,B120,Daily!$A:$A,E120))</f>
        <v/>
      </c>
      <c r="N120" s="3">
        <f>IF(K120="","",K120*SUMIFS(Daily!$H:$H,Daily!$B:$B,B120,Daily!$A:$A,E120))</f>
        <v/>
      </c>
      <c r="O120" s="3">
        <f>IF(OR(M120="",F120=0),"",M120/F120*10000)</f>
        <v/>
      </c>
      <c r="P120" s="8" t="n"/>
      <c r="Q120" s="8" t="n"/>
      <c r="R120" s="6">
        <f>IF(OR(F120="",F120=0),"",N(I120)/F120)</f>
        <v/>
      </c>
      <c r="S120" s="3">
        <f>IF(OR(F120="",F120=0),"",(N(H120)+N(Q120))/F120*1000)</f>
        <v/>
      </c>
    </row>
    <row r="121">
      <c r="A121" s="8" t="n"/>
      <c r="B121" s="8" t="n"/>
      <c r="C121" s="8" t="n"/>
      <c r="D121" s="8" t="n"/>
      <c r="E121" s="9" t="n"/>
      <c r="F121" s="8" t="n"/>
      <c r="G121" s="8" t="n"/>
      <c r="H121" s="8" t="n"/>
      <c r="I121" s="8" t="n"/>
      <c r="J121" s="8" t="n"/>
      <c r="K121" s="10">
        <f>IF(OR(F121="",SUMIFS($F:$F,$B:$B,B121,$E:$E,E121)=0),"",IF(SUMIFS($I:$I,$B:$B,B121,$E:$E,E121)&gt;0,N(I121)/SUMIFS($I:$I,$B:$B,B121,$E:$E,E121),F121/SUMIFS($F:$F,$B:$B,B121,$E:$E,E121)))</f>
        <v/>
      </c>
      <c r="L121" s="3">
        <f>IF(K121="","",K121*SUMIFS(Daily!$D:$D,Daily!$B:$B,B121,Daily!$A:$A,E121)+N(J121))</f>
        <v/>
      </c>
      <c r="M121" s="3">
        <f>IF(K121="","",K121*SUMIFS(Daily!$G:$G,Daily!$B:$B,B121,Daily!$A:$A,E121))</f>
        <v/>
      </c>
      <c r="N121" s="3">
        <f>IF(K121="","",K121*SUMIFS(Daily!$H:$H,Daily!$B:$B,B121,Daily!$A:$A,E121))</f>
        <v/>
      </c>
      <c r="O121" s="3">
        <f>IF(OR(M121="",F121=0),"",M121/F121*10000)</f>
        <v/>
      </c>
      <c r="P121" s="8" t="n"/>
      <c r="Q121" s="8" t="n"/>
      <c r="R121" s="6">
        <f>IF(OR(F121="",F121=0),"",N(I121)/F121)</f>
        <v/>
      </c>
      <c r="S121" s="3">
        <f>IF(OR(F121="",F121=0),"",(N(H121)+N(Q121))/F121*1000)</f>
        <v/>
      </c>
    </row>
    <row r="122">
      <c r="A122" s="8" t="n"/>
      <c r="B122" s="8" t="n"/>
      <c r="C122" s="8" t="n"/>
      <c r="D122" s="8" t="n"/>
      <c r="E122" s="9" t="n"/>
      <c r="F122" s="8" t="n"/>
      <c r="G122" s="8" t="n"/>
      <c r="H122" s="8" t="n"/>
      <c r="I122" s="8" t="n"/>
      <c r="J122" s="8" t="n"/>
      <c r="K122" s="10">
        <f>IF(OR(F122="",SUMIFS($F:$F,$B:$B,B122,$E:$E,E122)=0),"",IF(SUMIFS($I:$I,$B:$B,B122,$E:$E,E122)&gt;0,N(I122)/SUMIFS($I:$I,$B:$B,B122,$E:$E,E122),F122/SUMIFS($F:$F,$B:$B,B122,$E:$E,E122)))</f>
        <v/>
      </c>
      <c r="L122" s="3">
        <f>IF(K122="","",K122*SUMIFS(Daily!$D:$D,Daily!$B:$B,B122,Daily!$A:$A,E122)+N(J122))</f>
        <v/>
      </c>
      <c r="M122" s="3">
        <f>IF(K122="","",K122*SUMIFS(Daily!$G:$G,Daily!$B:$B,B122,Daily!$A:$A,E122))</f>
        <v/>
      </c>
      <c r="N122" s="3">
        <f>IF(K122="","",K122*SUMIFS(Daily!$H:$H,Daily!$B:$B,B122,Daily!$A:$A,E122))</f>
        <v/>
      </c>
      <c r="O122" s="3">
        <f>IF(OR(M122="",F122=0),"",M122/F122*10000)</f>
        <v/>
      </c>
      <c r="P122" s="8" t="n"/>
      <c r="Q122" s="8" t="n"/>
      <c r="R122" s="6">
        <f>IF(OR(F122="",F122=0),"",N(I122)/F122)</f>
        <v/>
      </c>
      <c r="S122" s="3">
        <f>IF(OR(F122="",F122=0),"",(N(H122)+N(Q122))/F122*1000)</f>
        <v/>
      </c>
    </row>
    <row r="123">
      <c r="A123" s="8" t="n"/>
      <c r="B123" s="8" t="n"/>
      <c r="C123" s="8" t="n"/>
      <c r="D123" s="8" t="n"/>
      <c r="E123" s="9" t="n"/>
      <c r="F123" s="8" t="n"/>
      <c r="G123" s="8" t="n"/>
      <c r="H123" s="8" t="n"/>
      <c r="I123" s="8" t="n"/>
      <c r="J123" s="8" t="n"/>
      <c r="K123" s="10">
        <f>IF(OR(F123="",SUMIFS($F:$F,$B:$B,B123,$E:$E,E123)=0),"",IF(SUMIFS($I:$I,$B:$B,B123,$E:$E,E123)&gt;0,N(I123)/SUMIFS($I:$I,$B:$B,B123,$E:$E,E123),F123/SUMIFS($F:$F,$B:$B,B123,$E:$E,E123)))</f>
        <v/>
      </c>
      <c r="L123" s="3">
        <f>IF(K123="","",K123*SUMIFS(Daily!$D:$D,Daily!$B:$B,B123,Daily!$A:$A,E123)+N(J123))</f>
        <v/>
      </c>
      <c r="M123" s="3">
        <f>IF(K123="","",K123*SUMIFS(Daily!$G:$G,Daily!$B:$B,B123,Daily!$A:$A,E123))</f>
        <v/>
      </c>
      <c r="N123" s="3">
        <f>IF(K123="","",K123*SUMIFS(Daily!$H:$H,Daily!$B:$B,B123,Daily!$A:$A,E123))</f>
        <v/>
      </c>
      <c r="O123" s="3">
        <f>IF(OR(M123="",F123=0),"",M123/F123*10000)</f>
        <v/>
      </c>
      <c r="P123" s="8" t="n"/>
      <c r="Q123" s="8" t="n"/>
      <c r="R123" s="6">
        <f>IF(OR(F123="",F123=0),"",N(I123)/F123)</f>
        <v/>
      </c>
      <c r="S123" s="3">
        <f>IF(OR(F123="",F123=0),"",(N(H123)+N(Q123))/F123*1000)</f>
        <v/>
      </c>
    </row>
    <row r="124">
      <c r="A124" s="8" t="n"/>
      <c r="B124" s="8" t="n"/>
      <c r="C124" s="8" t="n"/>
      <c r="D124" s="8" t="n"/>
      <c r="E124" s="9" t="n"/>
      <c r="F124" s="8" t="n"/>
      <c r="G124" s="8" t="n"/>
      <c r="H124" s="8" t="n"/>
      <c r="I124" s="8" t="n"/>
      <c r="J124" s="8" t="n"/>
      <c r="K124" s="10">
        <f>IF(OR(F124="",SUMIFS($F:$F,$B:$B,B124,$E:$E,E124)=0),"",IF(SUMIFS($I:$I,$B:$B,B124,$E:$E,E124)&gt;0,N(I124)/SUMIFS($I:$I,$B:$B,B124,$E:$E,E124),F124/SUMIFS($F:$F,$B:$B,B124,$E:$E,E124)))</f>
        <v/>
      </c>
      <c r="L124" s="3">
        <f>IF(K124="","",K124*SUMIFS(Daily!$D:$D,Daily!$B:$B,B124,Daily!$A:$A,E124)+N(J124))</f>
        <v/>
      </c>
      <c r="M124" s="3">
        <f>IF(K124="","",K124*SUMIFS(Daily!$G:$G,Daily!$B:$B,B124,Daily!$A:$A,E124))</f>
        <v/>
      </c>
      <c r="N124" s="3">
        <f>IF(K124="","",K124*SUMIFS(Daily!$H:$H,Daily!$B:$B,B124,Daily!$A:$A,E124))</f>
        <v/>
      </c>
      <c r="O124" s="3">
        <f>IF(OR(M124="",F124=0),"",M124/F124*10000)</f>
        <v/>
      </c>
      <c r="P124" s="8" t="n"/>
      <c r="Q124" s="8" t="n"/>
      <c r="R124" s="6">
        <f>IF(OR(F124="",F124=0),"",N(I124)/F124)</f>
        <v/>
      </c>
      <c r="S124" s="3">
        <f>IF(OR(F124="",F124=0),"",(N(H124)+N(Q124))/F124*1000)</f>
        <v/>
      </c>
    </row>
    <row r="125">
      <c r="A125" s="8" t="n"/>
      <c r="B125" s="8" t="n"/>
      <c r="C125" s="8" t="n"/>
      <c r="D125" s="8" t="n"/>
      <c r="E125" s="9" t="n"/>
      <c r="F125" s="8" t="n"/>
      <c r="G125" s="8" t="n"/>
      <c r="H125" s="8" t="n"/>
      <c r="I125" s="8" t="n"/>
      <c r="J125" s="8" t="n"/>
      <c r="K125" s="10">
        <f>IF(OR(F125="",SUMIFS($F:$F,$B:$B,B125,$E:$E,E125)=0),"",IF(SUMIFS($I:$I,$B:$B,B125,$E:$E,E125)&gt;0,N(I125)/SUMIFS($I:$I,$B:$B,B125,$E:$E,E125),F125/SUMIFS($F:$F,$B:$B,B125,$E:$E,E125)))</f>
        <v/>
      </c>
      <c r="L125" s="3">
        <f>IF(K125="","",K125*SUMIFS(Daily!$D:$D,Daily!$B:$B,B125,Daily!$A:$A,E125)+N(J125))</f>
        <v/>
      </c>
      <c r="M125" s="3">
        <f>IF(K125="","",K125*SUMIFS(Daily!$G:$G,Daily!$B:$B,B125,Daily!$A:$A,E125))</f>
        <v/>
      </c>
      <c r="N125" s="3">
        <f>IF(K125="","",K125*SUMIFS(Daily!$H:$H,Daily!$B:$B,B125,Daily!$A:$A,E125))</f>
        <v/>
      </c>
      <c r="O125" s="3">
        <f>IF(OR(M125="",F125=0),"",M125/F125*10000)</f>
        <v/>
      </c>
      <c r="P125" s="8" t="n"/>
      <c r="Q125" s="8" t="n"/>
      <c r="R125" s="6">
        <f>IF(OR(F125="",F125=0),"",N(I125)/F125)</f>
        <v/>
      </c>
      <c r="S125" s="3">
        <f>IF(OR(F125="",F125=0),"",(N(H125)+N(Q125))/F125*1000)</f>
        <v/>
      </c>
    </row>
    <row r="126">
      <c r="A126" s="8" t="n"/>
      <c r="B126" s="8" t="n"/>
      <c r="C126" s="8" t="n"/>
      <c r="D126" s="8" t="n"/>
      <c r="E126" s="9" t="n"/>
      <c r="F126" s="8" t="n"/>
      <c r="G126" s="8" t="n"/>
      <c r="H126" s="8" t="n"/>
      <c r="I126" s="8" t="n"/>
      <c r="J126" s="8" t="n"/>
      <c r="K126" s="10">
        <f>IF(OR(F126="",SUMIFS($F:$F,$B:$B,B126,$E:$E,E126)=0),"",IF(SUMIFS($I:$I,$B:$B,B126,$E:$E,E126)&gt;0,N(I126)/SUMIFS($I:$I,$B:$B,B126,$E:$E,E126),F126/SUMIFS($F:$F,$B:$B,B126,$E:$E,E126)))</f>
        <v/>
      </c>
      <c r="L126" s="3">
        <f>IF(K126="","",K126*SUMIFS(Daily!$D:$D,Daily!$B:$B,B126,Daily!$A:$A,E126)+N(J126))</f>
        <v/>
      </c>
      <c r="M126" s="3">
        <f>IF(K126="","",K126*SUMIFS(Daily!$G:$G,Daily!$B:$B,B126,Daily!$A:$A,E126))</f>
        <v/>
      </c>
      <c r="N126" s="3">
        <f>IF(K126="","",K126*SUMIFS(Daily!$H:$H,Daily!$B:$B,B126,Daily!$A:$A,E126))</f>
        <v/>
      </c>
      <c r="O126" s="3">
        <f>IF(OR(M126="",F126=0),"",M126/F126*10000)</f>
        <v/>
      </c>
      <c r="P126" s="8" t="n"/>
      <c r="Q126" s="8" t="n"/>
      <c r="R126" s="6">
        <f>IF(OR(F126="",F126=0),"",N(I126)/F126)</f>
        <v/>
      </c>
      <c r="S126" s="3">
        <f>IF(OR(F126="",F126=0),"",(N(H126)+N(Q126))/F126*1000)</f>
        <v/>
      </c>
    </row>
    <row r="127">
      <c r="A127" s="8" t="n"/>
      <c r="B127" s="8" t="n"/>
      <c r="C127" s="8" t="n"/>
      <c r="D127" s="8" t="n"/>
      <c r="E127" s="9" t="n"/>
      <c r="F127" s="8" t="n"/>
      <c r="G127" s="8" t="n"/>
      <c r="H127" s="8" t="n"/>
      <c r="I127" s="8" t="n"/>
      <c r="J127" s="8" t="n"/>
      <c r="K127" s="10">
        <f>IF(OR(F127="",SUMIFS($F:$F,$B:$B,B127,$E:$E,E127)=0),"",IF(SUMIFS($I:$I,$B:$B,B127,$E:$E,E127)&gt;0,N(I127)/SUMIFS($I:$I,$B:$B,B127,$E:$E,E127),F127/SUMIFS($F:$F,$B:$B,B127,$E:$E,E127)))</f>
        <v/>
      </c>
      <c r="L127" s="3">
        <f>IF(K127="","",K127*SUMIFS(Daily!$D:$D,Daily!$B:$B,B127,Daily!$A:$A,E127)+N(J127))</f>
        <v/>
      </c>
      <c r="M127" s="3">
        <f>IF(K127="","",K127*SUMIFS(Daily!$G:$G,Daily!$B:$B,B127,Daily!$A:$A,E127))</f>
        <v/>
      </c>
      <c r="N127" s="3">
        <f>IF(K127="","",K127*SUMIFS(Daily!$H:$H,Daily!$B:$B,B127,Daily!$A:$A,E127))</f>
        <v/>
      </c>
      <c r="O127" s="3">
        <f>IF(OR(M127="",F127=0),"",M127/F127*10000)</f>
        <v/>
      </c>
      <c r="P127" s="8" t="n"/>
      <c r="Q127" s="8" t="n"/>
      <c r="R127" s="6">
        <f>IF(OR(F127="",F127=0),"",N(I127)/F127)</f>
        <v/>
      </c>
      <c r="S127" s="3">
        <f>IF(OR(F127="",F127=0),"",(N(H127)+N(Q127))/F127*1000)</f>
        <v/>
      </c>
    </row>
    <row r="128">
      <c r="A128" s="8" t="n"/>
      <c r="B128" s="8" t="n"/>
      <c r="C128" s="8" t="n"/>
      <c r="D128" s="8" t="n"/>
      <c r="E128" s="9" t="n"/>
      <c r="F128" s="8" t="n"/>
      <c r="G128" s="8" t="n"/>
      <c r="H128" s="8" t="n"/>
      <c r="I128" s="8" t="n"/>
      <c r="J128" s="8" t="n"/>
      <c r="K128" s="10">
        <f>IF(OR(F128="",SUMIFS($F:$F,$B:$B,B128,$E:$E,E128)=0),"",IF(SUMIFS($I:$I,$B:$B,B128,$E:$E,E128)&gt;0,N(I128)/SUMIFS($I:$I,$B:$B,B128,$E:$E,E128),F128/SUMIFS($F:$F,$B:$B,B128,$E:$E,E128)))</f>
        <v/>
      </c>
      <c r="L128" s="3">
        <f>IF(K128="","",K128*SUMIFS(Daily!$D:$D,Daily!$B:$B,B128,Daily!$A:$A,E128)+N(J128))</f>
        <v/>
      </c>
      <c r="M128" s="3">
        <f>IF(K128="","",K128*SUMIFS(Daily!$G:$G,Daily!$B:$B,B128,Daily!$A:$A,E128))</f>
        <v/>
      </c>
      <c r="N128" s="3">
        <f>IF(K128="","",K128*SUMIFS(Daily!$H:$H,Daily!$B:$B,B128,Daily!$A:$A,E128))</f>
        <v/>
      </c>
      <c r="O128" s="3">
        <f>IF(OR(M128="",F128=0),"",M128/F128*10000)</f>
        <v/>
      </c>
      <c r="P128" s="8" t="n"/>
      <c r="Q128" s="8" t="n"/>
      <c r="R128" s="6">
        <f>IF(OR(F128="",F128=0),"",N(I128)/F128)</f>
        <v/>
      </c>
      <c r="S128" s="3">
        <f>IF(OR(F128="",F128=0),"",(N(H128)+N(Q128))/F128*1000)</f>
        <v/>
      </c>
    </row>
    <row r="129">
      <c r="A129" s="8" t="n"/>
      <c r="B129" s="8" t="n"/>
      <c r="C129" s="8" t="n"/>
      <c r="D129" s="8" t="n"/>
      <c r="E129" s="9" t="n"/>
      <c r="F129" s="8" t="n"/>
      <c r="G129" s="8" t="n"/>
      <c r="H129" s="8" t="n"/>
      <c r="I129" s="8" t="n"/>
      <c r="J129" s="8" t="n"/>
      <c r="K129" s="10">
        <f>IF(OR(F129="",SUMIFS($F:$F,$B:$B,B129,$E:$E,E129)=0),"",IF(SUMIFS($I:$I,$B:$B,B129,$E:$E,E129)&gt;0,N(I129)/SUMIFS($I:$I,$B:$B,B129,$E:$E,E129),F129/SUMIFS($F:$F,$B:$B,B129,$E:$E,E129)))</f>
        <v/>
      </c>
      <c r="L129" s="3">
        <f>IF(K129="","",K129*SUMIFS(Daily!$D:$D,Daily!$B:$B,B129,Daily!$A:$A,E129)+N(J129))</f>
        <v/>
      </c>
      <c r="M129" s="3">
        <f>IF(K129="","",K129*SUMIFS(Daily!$G:$G,Daily!$B:$B,B129,Daily!$A:$A,E129))</f>
        <v/>
      </c>
      <c r="N129" s="3">
        <f>IF(K129="","",K129*SUMIFS(Daily!$H:$H,Daily!$B:$B,B129,Daily!$A:$A,E129))</f>
        <v/>
      </c>
      <c r="O129" s="3">
        <f>IF(OR(M129="",F129=0),"",M129/F129*10000)</f>
        <v/>
      </c>
      <c r="P129" s="8" t="n"/>
      <c r="Q129" s="8" t="n"/>
      <c r="R129" s="6">
        <f>IF(OR(F129="",F129=0),"",N(I129)/F129)</f>
        <v/>
      </c>
      <c r="S129" s="3">
        <f>IF(OR(F129="",F129=0),"",(N(H129)+N(Q129))/F129*1000)</f>
        <v/>
      </c>
    </row>
    <row r="130">
      <c r="A130" s="8" t="n"/>
      <c r="B130" s="8" t="n"/>
      <c r="C130" s="8" t="n"/>
      <c r="D130" s="8" t="n"/>
      <c r="E130" s="9" t="n"/>
      <c r="F130" s="8" t="n"/>
      <c r="G130" s="8" t="n"/>
      <c r="H130" s="8" t="n"/>
      <c r="I130" s="8" t="n"/>
      <c r="J130" s="8" t="n"/>
      <c r="K130" s="10">
        <f>IF(OR(F130="",SUMIFS($F:$F,$B:$B,B130,$E:$E,E130)=0),"",IF(SUMIFS($I:$I,$B:$B,B130,$E:$E,E130)&gt;0,N(I130)/SUMIFS($I:$I,$B:$B,B130,$E:$E,E130),F130/SUMIFS($F:$F,$B:$B,B130,$E:$E,E130)))</f>
        <v/>
      </c>
      <c r="L130" s="3">
        <f>IF(K130="","",K130*SUMIFS(Daily!$D:$D,Daily!$B:$B,B130,Daily!$A:$A,E130)+N(J130))</f>
        <v/>
      </c>
      <c r="M130" s="3">
        <f>IF(K130="","",K130*SUMIFS(Daily!$G:$G,Daily!$B:$B,B130,Daily!$A:$A,E130))</f>
        <v/>
      </c>
      <c r="N130" s="3">
        <f>IF(K130="","",K130*SUMIFS(Daily!$H:$H,Daily!$B:$B,B130,Daily!$A:$A,E130))</f>
        <v/>
      </c>
      <c r="O130" s="3">
        <f>IF(OR(M130="",F130=0),"",M130/F130*10000)</f>
        <v/>
      </c>
      <c r="P130" s="8" t="n"/>
      <c r="Q130" s="8" t="n"/>
      <c r="R130" s="6">
        <f>IF(OR(F130="",F130=0),"",N(I130)/F130)</f>
        <v/>
      </c>
      <c r="S130" s="3">
        <f>IF(OR(F130="",F130=0),"",(N(H130)+N(Q130))/F130*1000)</f>
        <v/>
      </c>
    </row>
    <row r="131">
      <c r="A131" s="8" t="n"/>
      <c r="B131" s="8" t="n"/>
      <c r="C131" s="8" t="n"/>
      <c r="D131" s="8" t="n"/>
      <c r="E131" s="9" t="n"/>
      <c r="F131" s="8" t="n"/>
      <c r="G131" s="8" t="n"/>
      <c r="H131" s="8" t="n"/>
      <c r="I131" s="8" t="n"/>
      <c r="J131" s="8" t="n"/>
      <c r="K131" s="10">
        <f>IF(OR(F131="",SUMIFS($F:$F,$B:$B,B131,$E:$E,E131)=0),"",IF(SUMIFS($I:$I,$B:$B,B131,$E:$E,E131)&gt;0,N(I131)/SUMIFS($I:$I,$B:$B,B131,$E:$E,E131),F131/SUMIFS($F:$F,$B:$B,B131,$E:$E,E131)))</f>
        <v/>
      </c>
      <c r="L131" s="3">
        <f>IF(K131="","",K131*SUMIFS(Daily!$D:$D,Daily!$B:$B,B131,Daily!$A:$A,E131)+N(J131))</f>
        <v/>
      </c>
      <c r="M131" s="3">
        <f>IF(K131="","",K131*SUMIFS(Daily!$G:$G,Daily!$B:$B,B131,Daily!$A:$A,E131))</f>
        <v/>
      </c>
      <c r="N131" s="3">
        <f>IF(K131="","",K131*SUMIFS(Daily!$H:$H,Daily!$B:$B,B131,Daily!$A:$A,E131))</f>
        <v/>
      </c>
      <c r="O131" s="3">
        <f>IF(OR(M131="",F131=0),"",M131/F131*10000)</f>
        <v/>
      </c>
      <c r="P131" s="8" t="n"/>
      <c r="Q131" s="8" t="n"/>
      <c r="R131" s="6">
        <f>IF(OR(F131="",F131=0),"",N(I131)/F131)</f>
        <v/>
      </c>
      <c r="S131" s="3">
        <f>IF(OR(F131="",F131=0),"",(N(H131)+N(Q131))/F131*1000)</f>
        <v/>
      </c>
    </row>
    <row r="132">
      <c r="A132" s="8" t="n"/>
      <c r="B132" s="8" t="n"/>
      <c r="C132" s="8" t="n"/>
      <c r="D132" s="8" t="n"/>
      <c r="E132" s="9" t="n"/>
      <c r="F132" s="8" t="n"/>
      <c r="G132" s="8" t="n"/>
      <c r="H132" s="8" t="n"/>
      <c r="I132" s="8" t="n"/>
      <c r="J132" s="8" t="n"/>
      <c r="K132" s="10">
        <f>IF(OR(F132="",SUMIFS($F:$F,$B:$B,B132,$E:$E,E132)=0),"",IF(SUMIFS($I:$I,$B:$B,B132,$E:$E,E132)&gt;0,N(I132)/SUMIFS($I:$I,$B:$B,B132,$E:$E,E132),F132/SUMIFS($F:$F,$B:$B,B132,$E:$E,E132)))</f>
        <v/>
      </c>
      <c r="L132" s="3">
        <f>IF(K132="","",K132*SUMIFS(Daily!$D:$D,Daily!$B:$B,B132,Daily!$A:$A,E132)+N(J132))</f>
        <v/>
      </c>
      <c r="M132" s="3">
        <f>IF(K132="","",K132*SUMIFS(Daily!$G:$G,Daily!$B:$B,B132,Daily!$A:$A,E132))</f>
        <v/>
      </c>
      <c r="N132" s="3">
        <f>IF(K132="","",K132*SUMIFS(Daily!$H:$H,Daily!$B:$B,B132,Daily!$A:$A,E132))</f>
        <v/>
      </c>
      <c r="O132" s="3">
        <f>IF(OR(M132="",F132=0),"",M132/F132*10000)</f>
        <v/>
      </c>
      <c r="P132" s="8" t="n"/>
      <c r="Q132" s="8" t="n"/>
      <c r="R132" s="6">
        <f>IF(OR(F132="",F132=0),"",N(I132)/F132)</f>
        <v/>
      </c>
      <c r="S132" s="3">
        <f>IF(OR(F132="",F132=0),"",(N(H132)+N(Q132))/F132*1000)</f>
        <v/>
      </c>
    </row>
    <row r="133">
      <c r="A133" s="8" t="n"/>
      <c r="B133" s="8" t="n"/>
      <c r="C133" s="8" t="n"/>
      <c r="D133" s="8" t="n"/>
      <c r="E133" s="9" t="n"/>
      <c r="F133" s="8" t="n"/>
      <c r="G133" s="8" t="n"/>
      <c r="H133" s="8" t="n"/>
      <c r="I133" s="8" t="n"/>
      <c r="J133" s="8" t="n"/>
      <c r="K133" s="10">
        <f>IF(OR(F133="",SUMIFS($F:$F,$B:$B,B133,$E:$E,E133)=0),"",IF(SUMIFS($I:$I,$B:$B,B133,$E:$E,E133)&gt;0,N(I133)/SUMIFS($I:$I,$B:$B,B133,$E:$E,E133),F133/SUMIFS($F:$F,$B:$B,B133,$E:$E,E133)))</f>
        <v/>
      </c>
      <c r="L133" s="3">
        <f>IF(K133="","",K133*SUMIFS(Daily!$D:$D,Daily!$B:$B,B133,Daily!$A:$A,E133)+N(J133))</f>
        <v/>
      </c>
      <c r="M133" s="3">
        <f>IF(K133="","",K133*SUMIFS(Daily!$G:$G,Daily!$B:$B,B133,Daily!$A:$A,E133))</f>
        <v/>
      </c>
      <c r="N133" s="3">
        <f>IF(K133="","",K133*SUMIFS(Daily!$H:$H,Daily!$B:$B,B133,Daily!$A:$A,E133))</f>
        <v/>
      </c>
      <c r="O133" s="3">
        <f>IF(OR(M133="",F133=0),"",M133/F133*10000)</f>
        <v/>
      </c>
      <c r="P133" s="8" t="n"/>
      <c r="Q133" s="8" t="n"/>
      <c r="R133" s="6">
        <f>IF(OR(F133="",F133=0),"",N(I133)/F133)</f>
        <v/>
      </c>
      <c r="S133" s="3">
        <f>IF(OR(F133="",F133=0),"",(N(H133)+N(Q133))/F133*1000)</f>
        <v/>
      </c>
    </row>
    <row r="134">
      <c r="A134" s="8" t="n"/>
      <c r="B134" s="8" t="n"/>
      <c r="C134" s="8" t="n"/>
      <c r="D134" s="8" t="n"/>
      <c r="E134" s="9" t="n"/>
      <c r="F134" s="8" t="n"/>
      <c r="G134" s="8" t="n"/>
      <c r="H134" s="8" t="n"/>
      <c r="I134" s="8" t="n"/>
      <c r="J134" s="8" t="n"/>
      <c r="K134" s="10">
        <f>IF(OR(F134="",SUMIFS($F:$F,$B:$B,B134,$E:$E,E134)=0),"",IF(SUMIFS($I:$I,$B:$B,B134,$E:$E,E134)&gt;0,N(I134)/SUMIFS($I:$I,$B:$B,B134,$E:$E,E134),F134/SUMIFS($F:$F,$B:$B,B134,$E:$E,E134)))</f>
        <v/>
      </c>
      <c r="L134" s="3">
        <f>IF(K134="","",K134*SUMIFS(Daily!$D:$D,Daily!$B:$B,B134,Daily!$A:$A,E134)+N(J134))</f>
        <v/>
      </c>
      <c r="M134" s="3">
        <f>IF(K134="","",K134*SUMIFS(Daily!$G:$G,Daily!$B:$B,B134,Daily!$A:$A,E134))</f>
        <v/>
      </c>
      <c r="N134" s="3">
        <f>IF(K134="","",K134*SUMIFS(Daily!$H:$H,Daily!$B:$B,B134,Daily!$A:$A,E134))</f>
        <v/>
      </c>
      <c r="O134" s="3">
        <f>IF(OR(M134="",F134=0),"",M134/F134*10000)</f>
        <v/>
      </c>
      <c r="P134" s="8" t="n"/>
      <c r="Q134" s="8" t="n"/>
      <c r="R134" s="6">
        <f>IF(OR(F134="",F134=0),"",N(I134)/F134)</f>
        <v/>
      </c>
      <c r="S134" s="3">
        <f>IF(OR(F134="",F134=0),"",(N(H134)+N(Q134))/F134*1000)</f>
        <v/>
      </c>
    </row>
    <row r="135">
      <c r="A135" s="8" t="n"/>
      <c r="B135" s="8" t="n"/>
      <c r="C135" s="8" t="n"/>
      <c r="D135" s="8" t="n"/>
      <c r="E135" s="9" t="n"/>
      <c r="F135" s="8" t="n"/>
      <c r="G135" s="8" t="n"/>
      <c r="H135" s="8" t="n"/>
      <c r="I135" s="8" t="n"/>
      <c r="J135" s="8" t="n"/>
      <c r="K135" s="10">
        <f>IF(OR(F135="",SUMIFS($F:$F,$B:$B,B135,$E:$E,E135)=0),"",IF(SUMIFS($I:$I,$B:$B,B135,$E:$E,E135)&gt;0,N(I135)/SUMIFS($I:$I,$B:$B,B135,$E:$E,E135),F135/SUMIFS($F:$F,$B:$B,B135,$E:$E,E135)))</f>
        <v/>
      </c>
      <c r="L135" s="3">
        <f>IF(K135="","",K135*SUMIFS(Daily!$D:$D,Daily!$B:$B,B135,Daily!$A:$A,E135)+N(J135))</f>
        <v/>
      </c>
      <c r="M135" s="3">
        <f>IF(K135="","",K135*SUMIFS(Daily!$G:$G,Daily!$B:$B,B135,Daily!$A:$A,E135))</f>
        <v/>
      </c>
      <c r="N135" s="3">
        <f>IF(K135="","",K135*SUMIFS(Daily!$H:$H,Daily!$B:$B,B135,Daily!$A:$A,E135))</f>
        <v/>
      </c>
      <c r="O135" s="3">
        <f>IF(OR(M135="",F135=0),"",M135/F135*10000)</f>
        <v/>
      </c>
      <c r="P135" s="8" t="n"/>
      <c r="Q135" s="8" t="n"/>
      <c r="R135" s="6">
        <f>IF(OR(F135="",F135=0),"",N(I135)/F135)</f>
        <v/>
      </c>
      <c r="S135" s="3">
        <f>IF(OR(F135="",F135=0),"",(N(H135)+N(Q135))/F135*1000)</f>
        <v/>
      </c>
    </row>
    <row r="136">
      <c r="A136" s="8" t="n"/>
      <c r="B136" s="8" t="n"/>
      <c r="C136" s="8" t="n"/>
      <c r="D136" s="8" t="n"/>
      <c r="E136" s="9" t="n"/>
      <c r="F136" s="8" t="n"/>
      <c r="G136" s="8" t="n"/>
      <c r="H136" s="8" t="n"/>
      <c r="I136" s="8" t="n"/>
      <c r="J136" s="8" t="n"/>
      <c r="K136" s="10">
        <f>IF(OR(F136="",SUMIFS($F:$F,$B:$B,B136,$E:$E,E136)=0),"",IF(SUMIFS($I:$I,$B:$B,B136,$E:$E,E136)&gt;0,N(I136)/SUMIFS($I:$I,$B:$B,B136,$E:$E,E136),F136/SUMIFS($F:$F,$B:$B,B136,$E:$E,E136)))</f>
        <v/>
      </c>
      <c r="L136" s="3">
        <f>IF(K136="","",K136*SUMIFS(Daily!$D:$D,Daily!$B:$B,B136,Daily!$A:$A,E136)+N(J136))</f>
        <v/>
      </c>
      <c r="M136" s="3">
        <f>IF(K136="","",K136*SUMIFS(Daily!$G:$G,Daily!$B:$B,B136,Daily!$A:$A,E136))</f>
        <v/>
      </c>
      <c r="N136" s="3">
        <f>IF(K136="","",K136*SUMIFS(Daily!$H:$H,Daily!$B:$B,B136,Daily!$A:$A,E136))</f>
        <v/>
      </c>
      <c r="O136" s="3">
        <f>IF(OR(M136="",F136=0),"",M136/F136*10000)</f>
        <v/>
      </c>
      <c r="P136" s="8" t="n"/>
      <c r="Q136" s="8" t="n"/>
      <c r="R136" s="6">
        <f>IF(OR(F136="",F136=0),"",N(I136)/F136)</f>
        <v/>
      </c>
      <c r="S136" s="3">
        <f>IF(OR(F136="",F136=0),"",(N(H136)+N(Q136))/F136*1000)</f>
        <v/>
      </c>
    </row>
    <row r="137">
      <c r="A137" s="8" t="n"/>
      <c r="B137" s="8" t="n"/>
      <c r="C137" s="8" t="n"/>
      <c r="D137" s="8" t="n"/>
      <c r="E137" s="9" t="n"/>
      <c r="F137" s="8" t="n"/>
      <c r="G137" s="8" t="n"/>
      <c r="H137" s="8" t="n"/>
      <c r="I137" s="8" t="n"/>
      <c r="J137" s="8" t="n"/>
      <c r="K137" s="10">
        <f>IF(OR(F137="",SUMIFS($F:$F,$B:$B,B137,$E:$E,E137)=0),"",IF(SUMIFS($I:$I,$B:$B,B137,$E:$E,E137)&gt;0,N(I137)/SUMIFS($I:$I,$B:$B,B137,$E:$E,E137),F137/SUMIFS($F:$F,$B:$B,B137,$E:$E,E137)))</f>
        <v/>
      </c>
      <c r="L137" s="3">
        <f>IF(K137="","",K137*SUMIFS(Daily!$D:$D,Daily!$B:$B,B137,Daily!$A:$A,E137)+N(J137))</f>
        <v/>
      </c>
      <c r="M137" s="3">
        <f>IF(K137="","",K137*SUMIFS(Daily!$G:$G,Daily!$B:$B,B137,Daily!$A:$A,E137))</f>
        <v/>
      </c>
      <c r="N137" s="3">
        <f>IF(K137="","",K137*SUMIFS(Daily!$H:$H,Daily!$B:$B,B137,Daily!$A:$A,E137))</f>
        <v/>
      </c>
      <c r="O137" s="3">
        <f>IF(OR(M137="",F137=0),"",M137/F137*10000)</f>
        <v/>
      </c>
      <c r="P137" s="8" t="n"/>
      <c r="Q137" s="8" t="n"/>
      <c r="R137" s="6">
        <f>IF(OR(F137="",F137=0),"",N(I137)/F137)</f>
        <v/>
      </c>
      <c r="S137" s="3">
        <f>IF(OR(F137="",F137=0),"",(N(H137)+N(Q137))/F137*1000)</f>
        <v/>
      </c>
    </row>
    <row r="138">
      <c r="A138" s="8" t="n"/>
      <c r="B138" s="8" t="n"/>
      <c r="C138" s="8" t="n"/>
      <c r="D138" s="8" t="n"/>
      <c r="E138" s="9" t="n"/>
      <c r="F138" s="8" t="n"/>
      <c r="G138" s="8" t="n"/>
      <c r="H138" s="8" t="n"/>
      <c r="I138" s="8" t="n"/>
      <c r="J138" s="8" t="n"/>
      <c r="K138" s="10">
        <f>IF(OR(F138="",SUMIFS($F:$F,$B:$B,B138,$E:$E,E138)=0),"",IF(SUMIFS($I:$I,$B:$B,B138,$E:$E,E138)&gt;0,N(I138)/SUMIFS($I:$I,$B:$B,B138,$E:$E,E138),F138/SUMIFS($F:$F,$B:$B,B138,$E:$E,E138)))</f>
        <v/>
      </c>
      <c r="L138" s="3">
        <f>IF(K138="","",K138*SUMIFS(Daily!$D:$D,Daily!$B:$B,B138,Daily!$A:$A,E138)+N(J138))</f>
        <v/>
      </c>
      <c r="M138" s="3">
        <f>IF(K138="","",K138*SUMIFS(Daily!$G:$G,Daily!$B:$B,B138,Daily!$A:$A,E138))</f>
        <v/>
      </c>
      <c r="N138" s="3">
        <f>IF(K138="","",K138*SUMIFS(Daily!$H:$H,Daily!$B:$B,B138,Daily!$A:$A,E138))</f>
        <v/>
      </c>
      <c r="O138" s="3">
        <f>IF(OR(M138="",F138=0),"",M138/F138*10000)</f>
        <v/>
      </c>
      <c r="P138" s="8" t="n"/>
      <c r="Q138" s="8" t="n"/>
      <c r="R138" s="6">
        <f>IF(OR(F138="",F138=0),"",N(I138)/F138)</f>
        <v/>
      </c>
      <c r="S138" s="3">
        <f>IF(OR(F138="",F138=0),"",(N(H138)+N(Q138))/F138*1000)</f>
        <v/>
      </c>
    </row>
    <row r="139">
      <c r="A139" s="8" t="n"/>
      <c r="B139" s="8" t="n"/>
      <c r="C139" s="8" t="n"/>
      <c r="D139" s="8" t="n"/>
      <c r="E139" s="9" t="n"/>
      <c r="F139" s="8" t="n"/>
      <c r="G139" s="8" t="n"/>
      <c r="H139" s="8" t="n"/>
      <c r="I139" s="8" t="n"/>
      <c r="J139" s="8" t="n"/>
      <c r="K139" s="10">
        <f>IF(OR(F139="",SUMIFS($F:$F,$B:$B,B139,$E:$E,E139)=0),"",IF(SUMIFS($I:$I,$B:$B,B139,$E:$E,E139)&gt;0,N(I139)/SUMIFS($I:$I,$B:$B,B139,$E:$E,E139),F139/SUMIFS($F:$F,$B:$B,B139,$E:$E,E139)))</f>
        <v/>
      </c>
      <c r="L139" s="3">
        <f>IF(K139="","",K139*SUMIFS(Daily!$D:$D,Daily!$B:$B,B139,Daily!$A:$A,E139)+N(J139))</f>
        <v/>
      </c>
      <c r="M139" s="3">
        <f>IF(K139="","",K139*SUMIFS(Daily!$G:$G,Daily!$B:$B,B139,Daily!$A:$A,E139))</f>
        <v/>
      </c>
      <c r="N139" s="3">
        <f>IF(K139="","",K139*SUMIFS(Daily!$H:$H,Daily!$B:$B,B139,Daily!$A:$A,E139))</f>
        <v/>
      </c>
      <c r="O139" s="3">
        <f>IF(OR(M139="",F139=0),"",M139/F139*10000)</f>
        <v/>
      </c>
      <c r="P139" s="8" t="n"/>
      <c r="Q139" s="8" t="n"/>
      <c r="R139" s="6">
        <f>IF(OR(F139="",F139=0),"",N(I139)/F139)</f>
        <v/>
      </c>
      <c r="S139" s="3">
        <f>IF(OR(F139="",F139=0),"",(N(H139)+N(Q139))/F139*1000)</f>
        <v/>
      </c>
    </row>
    <row r="140">
      <c r="A140" s="8" t="n"/>
      <c r="B140" s="8" t="n"/>
      <c r="C140" s="8" t="n"/>
      <c r="D140" s="8" t="n"/>
      <c r="E140" s="9" t="n"/>
      <c r="F140" s="8" t="n"/>
      <c r="G140" s="8" t="n"/>
      <c r="H140" s="8" t="n"/>
      <c r="I140" s="8" t="n"/>
      <c r="J140" s="8" t="n"/>
      <c r="K140" s="10">
        <f>IF(OR(F140="",SUMIFS($F:$F,$B:$B,B140,$E:$E,E140)=0),"",IF(SUMIFS($I:$I,$B:$B,B140,$E:$E,E140)&gt;0,N(I140)/SUMIFS($I:$I,$B:$B,B140,$E:$E,E140),F140/SUMIFS($F:$F,$B:$B,B140,$E:$E,E140)))</f>
        <v/>
      </c>
      <c r="L140" s="3">
        <f>IF(K140="","",K140*SUMIFS(Daily!$D:$D,Daily!$B:$B,B140,Daily!$A:$A,E140)+N(J140))</f>
        <v/>
      </c>
      <c r="M140" s="3">
        <f>IF(K140="","",K140*SUMIFS(Daily!$G:$G,Daily!$B:$B,B140,Daily!$A:$A,E140))</f>
        <v/>
      </c>
      <c r="N140" s="3">
        <f>IF(K140="","",K140*SUMIFS(Daily!$H:$H,Daily!$B:$B,B140,Daily!$A:$A,E140))</f>
        <v/>
      </c>
      <c r="O140" s="3">
        <f>IF(OR(M140="",F140=0),"",M140/F140*10000)</f>
        <v/>
      </c>
      <c r="P140" s="8" t="n"/>
      <c r="Q140" s="8" t="n"/>
      <c r="R140" s="6">
        <f>IF(OR(F140="",F140=0),"",N(I140)/F140)</f>
        <v/>
      </c>
      <c r="S140" s="3">
        <f>IF(OR(F140="",F140=0),"",(N(H140)+N(Q140))/F140*1000)</f>
        <v/>
      </c>
    </row>
    <row r="141">
      <c r="A141" s="8" t="n"/>
      <c r="B141" s="8" t="n"/>
      <c r="C141" s="8" t="n"/>
      <c r="D141" s="8" t="n"/>
      <c r="E141" s="9" t="n"/>
      <c r="F141" s="8" t="n"/>
      <c r="G141" s="8" t="n"/>
      <c r="H141" s="8" t="n"/>
      <c r="I141" s="8" t="n"/>
      <c r="J141" s="8" t="n"/>
      <c r="K141" s="10">
        <f>IF(OR(F141="",SUMIFS($F:$F,$B:$B,B141,$E:$E,E141)=0),"",IF(SUMIFS($I:$I,$B:$B,B141,$E:$E,E141)&gt;0,N(I141)/SUMIFS($I:$I,$B:$B,B141,$E:$E,E141),F141/SUMIFS($F:$F,$B:$B,B141,$E:$E,E141)))</f>
        <v/>
      </c>
      <c r="L141" s="3">
        <f>IF(K141="","",K141*SUMIFS(Daily!$D:$D,Daily!$B:$B,B141,Daily!$A:$A,E141)+N(J141))</f>
        <v/>
      </c>
      <c r="M141" s="3">
        <f>IF(K141="","",K141*SUMIFS(Daily!$G:$G,Daily!$B:$B,B141,Daily!$A:$A,E141))</f>
        <v/>
      </c>
      <c r="N141" s="3">
        <f>IF(K141="","",K141*SUMIFS(Daily!$H:$H,Daily!$B:$B,B141,Daily!$A:$A,E141))</f>
        <v/>
      </c>
      <c r="O141" s="3">
        <f>IF(OR(M141="",F141=0),"",M141/F141*10000)</f>
        <v/>
      </c>
      <c r="P141" s="8" t="n"/>
      <c r="Q141" s="8" t="n"/>
      <c r="R141" s="6">
        <f>IF(OR(F141="",F141=0),"",N(I141)/F141)</f>
        <v/>
      </c>
      <c r="S141" s="3">
        <f>IF(OR(F141="",F141=0),"",(N(H141)+N(Q141))/F141*1000)</f>
        <v/>
      </c>
    </row>
    <row r="142">
      <c r="A142" s="8" t="n"/>
      <c r="B142" s="8" t="n"/>
      <c r="C142" s="8" t="n"/>
      <c r="D142" s="8" t="n"/>
      <c r="E142" s="9" t="n"/>
      <c r="F142" s="8" t="n"/>
      <c r="G142" s="8" t="n"/>
      <c r="H142" s="8" t="n"/>
      <c r="I142" s="8" t="n"/>
      <c r="J142" s="8" t="n"/>
      <c r="K142" s="10">
        <f>IF(OR(F142="",SUMIFS($F:$F,$B:$B,B142,$E:$E,E142)=0),"",IF(SUMIFS($I:$I,$B:$B,B142,$E:$E,E142)&gt;0,N(I142)/SUMIFS($I:$I,$B:$B,B142,$E:$E,E142),F142/SUMIFS($F:$F,$B:$B,B142,$E:$E,E142)))</f>
        <v/>
      </c>
      <c r="L142" s="3">
        <f>IF(K142="","",K142*SUMIFS(Daily!$D:$D,Daily!$B:$B,B142,Daily!$A:$A,E142)+N(J142))</f>
        <v/>
      </c>
      <c r="M142" s="3">
        <f>IF(K142="","",K142*SUMIFS(Daily!$G:$G,Daily!$B:$B,B142,Daily!$A:$A,E142))</f>
        <v/>
      </c>
      <c r="N142" s="3">
        <f>IF(K142="","",K142*SUMIFS(Daily!$H:$H,Daily!$B:$B,B142,Daily!$A:$A,E142))</f>
        <v/>
      </c>
      <c r="O142" s="3">
        <f>IF(OR(M142="",F142=0),"",M142/F142*10000)</f>
        <v/>
      </c>
      <c r="P142" s="8" t="n"/>
      <c r="Q142" s="8" t="n"/>
      <c r="R142" s="6">
        <f>IF(OR(F142="",F142=0),"",N(I142)/F142)</f>
        <v/>
      </c>
      <c r="S142" s="3">
        <f>IF(OR(F142="",F142=0),"",(N(H142)+N(Q142))/F142*1000)</f>
        <v/>
      </c>
    </row>
    <row r="143">
      <c r="A143" s="8" t="n"/>
      <c r="B143" s="8" t="n"/>
      <c r="C143" s="8" t="n"/>
      <c r="D143" s="8" t="n"/>
      <c r="E143" s="9" t="n"/>
      <c r="F143" s="8" t="n"/>
      <c r="G143" s="8" t="n"/>
      <c r="H143" s="8" t="n"/>
      <c r="I143" s="8" t="n"/>
      <c r="J143" s="8" t="n"/>
      <c r="K143" s="10">
        <f>IF(OR(F143="",SUMIFS($F:$F,$B:$B,B143,$E:$E,E143)=0),"",IF(SUMIFS($I:$I,$B:$B,B143,$E:$E,E143)&gt;0,N(I143)/SUMIFS($I:$I,$B:$B,B143,$E:$E,E143),F143/SUMIFS($F:$F,$B:$B,B143,$E:$E,E143)))</f>
        <v/>
      </c>
      <c r="L143" s="3">
        <f>IF(K143="","",K143*SUMIFS(Daily!$D:$D,Daily!$B:$B,B143,Daily!$A:$A,E143)+N(J143))</f>
        <v/>
      </c>
      <c r="M143" s="3">
        <f>IF(K143="","",K143*SUMIFS(Daily!$G:$G,Daily!$B:$B,B143,Daily!$A:$A,E143))</f>
        <v/>
      </c>
      <c r="N143" s="3">
        <f>IF(K143="","",K143*SUMIFS(Daily!$H:$H,Daily!$B:$B,B143,Daily!$A:$A,E143))</f>
        <v/>
      </c>
      <c r="O143" s="3">
        <f>IF(OR(M143="",F143=0),"",M143/F143*10000)</f>
        <v/>
      </c>
      <c r="P143" s="8" t="n"/>
      <c r="Q143" s="8" t="n"/>
      <c r="R143" s="6">
        <f>IF(OR(F143="",F143=0),"",N(I143)/F143)</f>
        <v/>
      </c>
      <c r="S143" s="3">
        <f>IF(OR(F143="",F143=0),"",(N(H143)+N(Q143))/F143*1000)</f>
        <v/>
      </c>
    </row>
    <row r="144">
      <c r="A144" s="8" t="n"/>
      <c r="B144" s="8" t="n"/>
      <c r="C144" s="8" t="n"/>
      <c r="D144" s="8" t="n"/>
      <c r="E144" s="9" t="n"/>
      <c r="F144" s="8" t="n"/>
      <c r="G144" s="8" t="n"/>
      <c r="H144" s="8" t="n"/>
      <c r="I144" s="8" t="n"/>
      <c r="J144" s="8" t="n"/>
      <c r="K144" s="10">
        <f>IF(OR(F144="",SUMIFS($F:$F,$B:$B,B144,$E:$E,E144)=0),"",IF(SUMIFS($I:$I,$B:$B,B144,$E:$E,E144)&gt;0,N(I144)/SUMIFS($I:$I,$B:$B,B144,$E:$E,E144),F144/SUMIFS($F:$F,$B:$B,B144,$E:$E,E144)))</f>
        <v/>
      </c>
      <c r="L144" s="3">
        <f>IF(K144="","",K144*SUMIFS(Daily!$D:$D,Daily!$B:$B,B144,Daily!$A:$A,E144)+N(J144))</f>
        <v/>
      </c>
      <c r="M144" s="3">
        <f>IF(K144="","",K144*SUMIFS(Daily!$G:$G,Daily!$B:$B,B144,Daily!$A:$A,E144))</f>
        <v/>
      </c>
      <c r="N144" s="3">
        <f>IF(K144="","",K144*SUMIFS(Daily!$H:$H,Daily!$B:$B,B144,Daily!$A:$A,E144))</f>
        <v/>
      </c>
      <c r="O144" s="3">
        <f>IF(OR(M144="",F144=0),"",M144/F144*10000)</f>
        <v/>
      </c>
      <c r="P144" s="8" t="n"/>
      <c r="Q144" s="8" t="n"/>
      <c r="R144" s="6">
        <f>IF(OR(F144="",F144=0),"",N(I144)/F144)</f>
        <v/>
      </c>
      <c r="S144" s="3">
        <f>IF(OR(F144="",F144=0),"",(N(H144)+N(Q144))/F144*1000)</f>
        <v/>
      </c>
    </row>
    <row r="145">
      <c r="A145" s="8" t="n"/>
      <c r="B145" s="8" t="n"/>
      <c r="C145" s="8" t="n"/>
      <c r="D145" s="8" t="n"/>
      <c r="E145" s="9" t="n"/>
      <c r="F145" s="8" t="n"/>
      <c r="G145" s="8" t="n"/>
      <c r="H145" s="8" t="n"/>
      <c r="I145" s="8" t="n"/>
      <c r="J145" s="8" t="n"/>
      <c r="K145" s="10">
        <f>IF(OR(F145="",SUMIFS($F:$F,$B:$B,B145,$E:$E,E145)=0),"",IF(SUMIFS($I:$I,$B:$B,B145,$E:$E,E145)&gt;0,N(I145)/SUMIFS($I:$I,$B:$B,B145,$E:$E,E145),F145/SUMIFS($F:$F,$B:$B,B145,$E:$E,E145)))</f>
        <v/>
      </c>
      <c r="L145" s="3">
        <f>IF(K145="","",K145*SUMIFS(Daily!$D:$D,Daily!$B:$B,B145,Daily!$A:$A,E145)+N(J145))</f>
        <v/>
      </c>
      <c r="M145" s="3">
        <f>IF(K145="","",K145*SUMIFS(Daily!$G:$G,Daily!$B:$B,B145,Daily!$A:$A,E145))</f>
        <v/>
      </c>
      <c r="N145" s="3">
        <f>IF(K145="","",K145*SUMIFS(Daily!$H:$H,Daily!$B:$B,B145,Daily!$A:$A,E145))</f>
        <v/>
      </c>
      <c r="O145" s="3">
        <f>IF(OR(M145="",F145=0),"",M145/F145*10000)</f>
        <v/>
      </c>
      <c r="P145" s="8" t="n"/>
      <c r="Q145" s="8" t="n"/>
      <c r="R145" s="6">
        <f>IF(OR(F145="",F145=0),"",N(I145)/F145)</f>
        <v/>
      </c>
      <c r="S145" s="3">
        <f>IF(OR(F145="",F145=0),"",(N(H145)+N(Q145))/F145*1000)</f>
        <v/>
      </c>
    </row>
    <row r="146">
      <c r="A146" s="8" t="n"/>
      <c r="B146" s="8" t="n"/>
      <c r="C146" s="8" t="n"/>
      <c r="D146" s="8" t="n"/>
      <c r="E146" s="9" t="n"/>
      <c r="F146" s="8" t="n"/>
      <c r="G146" s="8" t="n"/>
      <c r="H146" s="8" t="n"/>
      <c r="I146" s="8" t="n"/>
      <c r="J146" s="8" t="n"/>
      <c r="K146" s="10">
        <f>IF(OR(F146="",SUMIFS($F:$F,$B:$B,B146,$E:$E,E146)=0),"",IF(SUMIFS($I:$I,$B:$B,B146,$E:$E,E146)&gt;0,N(I146)/SUMIFS($I:$I,$B:$B,B146,$E:$E,E146),F146/SUMIFS($F:$F,$B:$B,B146,$E:$E,E146)))</f>
        <v/>
      </c>
      <c r="L146" s="3">
        <f>IF(K146="","",K146*SUMIFS(Daily!$D:$D,Daily!$B:$B,B146,Daily!$A:$A,E146)+N(J146))</f>
        <v/>
      </c>
      <c r="M146" s="3">
        <f>IF(K146="","",K146*SUMIFS(Daily!$G:$G,Daily!$B:$B,B146,Daily!$A:$A,E146))</f>
        <v/>
      </c>
      <c r="N146" s="3">
        <f>IF(K146="","",K146*SUMIFS(Daily!$H:$H,Daily!$B:$B,B146,Daily!$A:$A,E146))</f>
        <v/>
      </c>
      <c r="O146" s="3">
        <f>IF(OR(M146="",F146=0),"",M146/F146*10000)</f>
        <v/>
      </c>
      <c r="P146" s="8" t="n"/>
      <c r="Q146" s="8" t="n"/>
      <c r="R146" s="6">
        <f>IF(OR(F146="",F146=0),"",N(I146)/F146)</f>
        <v/>
      </c>
      <c r="S146" s="3">
        <f>IF(OR(F146="",F146=0),"",(N(H146)+N(Q146))/F146*1000)</f>
        <v/>
      </c>
    </row>
    <row r="147">
      <c r="A147" s="8" t="n"/>
      <c r="B147" s="8" t="n"/>
      <c r="C147" s="8" t="n"/>
      <c r="D147" s="8" t="n"/>
      <c r="E147" s="9" t="n"/>
      <c r="F147" s="8" t="n"/>
      <c r="G147" s="8" t="n"/>
      <c r="H147" s="8" t="n"/>
      <c r="I147" s="8" t="n"/>
      <c r="J147" s="8" t="n"/>
      <c r="K147" s="10">
        <f>IF(OR(F147="",SUMIFS($F:$F,$B:$B,B147,$E:$E,E147)=0),"",IF(SUMIFS($I:$I,$B:$B,B147,$E:$E,E147)&gt;0,N(I147)/SUMIFS($I:$I,$B:$B,B147,$E:$E,E147),F147/SUMIFS($F:$F,$B:$B,B147,$E:$E,E147)))</f>
        <v/>
      </c>
      <c r="L147" s="3">
        <f>IF(K147="","",K147*SUMIFS(Daily!$D:$D,Daily!$B:$B,B147,Daily!$A:$A,E147)+N(J147))</f>
        <v/>
      </c>
      <c r="M147" s="3">
        <f>IF(K147="","",K147*SUMIFS(Daily!$G:$G,Daily!$B:$B,B147,Daily!$A:$A,E147))</f>
        <v/>
      </c>
      <c r="N147" s="3">
        <f>IF(K147="","",K147*SUMIFS(Daily!$H:$H,Daily!$B:$B,B147,Daily!$A:$A,E147))</f>
        <v/>
      </c>
      <c r="O147" s="3">
        <f>IF(OR(M147="",F147=0),"",M147/F147*10000)</f>
        <v/>
      </c>
      <c r="P147" s="8" t="n"/>
      <c r="Q147" s="8" t="n"/>
      <c r="R147" s="6">
        <f>IF(OR(F147="",F147=0),"",N(I147)/F147)</f>
        <v/>
      </c>
      <c r="S147" s="3">
        <f>IF(OR(F147="",F147=0),"",(N(H147)+N(Q147))/F147*1000)</f>
        <v/>
      </c>
    </row>
    <row r="148">
      <c r="A148" s="8" t="n"/>
      <c r="B148" s="8" t="n"/>
      <c r="C148" s="8" t="n"/>
      <c r="D148" s="8" t="n"/>
      <c r="E148" s="9" t="n"/>
      <c r="F148" s="8" t="n"/>
      <c r="G148" s="8" t="n"/>
      <c r="H148" s="8" t="n"/>
      <c r="I148" s="8" t="n"/>
      <c r="J148" s="8" t="n"/>
      <c r="K148" s="10">
        <f>IF(OR(F148="",SUMIFS($F:$F,$B:$B,B148,$E:$E,E148)=0),"",IF(SUMIFS($I:$I,$B:$B,B148,$E:$E,E148)&gt;0,N(I148)/SUMIFS($I:$I,$B:$B,B148,$E:$E,E148),F148/SUMIFS($F:$F,$B:$B,B148,$E:$E,E148)))</f>
        <v/>
      </c>
      <c r="L148" s="3">
        <f>IF(K148="","",K148*SUMIFS(Daily!$D:$D,Daily!$B:$B,B148,Daily!$A:$A,E148)+N(J148))</f>
        <v/>
      </c>
      <c r="M148" s="3">
        <f>IF(K148="","",K148*SUMIFS(Daily!$G:$G,Daily!$B:$B,B148,Daily!$A:$A,E148))</f>
        <v/>
      </c>
      <c r="N148" s="3">
        <f>IF(K148="","",K148*SUMIFS(Daily!$H:$H,Daily!$B:$B,B148,Daily!$A:$A,E148))</f>
        <v/>
      </c>
      <c r="O148" s="3">
        <f>IF(OR(M148="",F148=0),"",M148/F148*10000)</f>
        <v/>
      </c>
      <c r="P148" s="8" t="n"/>
      <c r="Q148" s="8" t="n"/>
      <c r="R148" s="6">
        <f>IF(OR(F148="",F148=0),"",N(I148)/F148)</f>
        <v/>
      </c>
      <c r="S148" s="3">
        <f>IF(OR(F148="",F148=0),"",(N(H148)+N(Q148))/F148*1000)</f>
        <v/>
      </c>
    </row>
    <row r="149">
      <c r="A149" s="8" t="n"/>
      <c r="B149" s="8" t="n"/>
      <c r="C149" s="8" t="n"/>
      <c r="D149" s="8" t="n"/>
      <c r="E149" s="9" t="n"/>
      <c r="F149" s="8" t="n"/>
      <c r="G149" s="8" t="n"/>
      <c r="H149" s="8" t="n"/>
      <c r="I149" s="8" t="n"/>
      <c r="J149" s="8" t="n"/>
      <c r="K149" s="10">
        <f>IF(OR(F149="",SUMIFS($F:$F,$B:$B,B149,$E:$E,E149)=0),"",IF(SUMIFS($I:$I,$B:$B,B149,$E:$E,E149)&gt;0,N(I149)/SUMIFS($I:$I,$B:$B,B149,$E:$E,E149),F149/SUMIFS($F:$F,$B:$B,B149,$E:$E,E149)))</f>
        <v/>
      </c>
      <c r="L149" s="3">
        <f>IF(K149="","",K149*SUMIFS(Daily!$D:$D,Daily!$B:$B,B149,Daily!$A:$A,E149)+N(J149))</f>
        <v/>
      </c>
      <c r="M149" s="3">
        <f>IF(K149="","",K149*SUMIFS(Daily!$G:$G,Daily!$B:$B,B149,Daily!$A:$A,E149))</f>
        <v/>
      </c>
      <c r="N149" s="3">
        <f>IF(K149="","",K149*SUMIFS(Daily!$H:$H,Daily!$B:$B,B149,Daily!$A:$A,E149))</f>
        <v/>
      </c>
      <c r="O149" s="3">
        <f>IF(OR(M149="",F149=0),"",M149/F149*10000)</f>
        <v/>
      </c>
      <c r="P149" s="8" t="n"/>
      <c r="Q149" s="8" t="n"/>
      <c r="R149" s="6">
        <f>IF(OR(F149="",F149=0),"",N(I149)/F149)</f>
        <v/>
      </c>
      <c r="S149" s="3">
        <f>IF(OR(F149="",F149=0),"",(N(H149)+N(Q149))/F149*1000)</f>
        <v/>
      </c>
    </row>
    <row r="150">
      <c r="A150" s="8" t="n"/>
      <c r="B150" s="8" t="n"/>
      <c r="C150" s="8" t="n"/>
      <c r="D150" s="8" t="n"/>
      <c r="E150" s="9" t="n"/>
      <c r="F150" s="8" t="n"/>
      <c r="G150" s="8" t="n"/>
      <c r="H150" s="8" t="n"/>
      <c r="I150" s="8" t="n"/>
      <c r="J150" s="8" t="n"/>
      <c r="K150" s="10">
        <f>IF(OR(F150="",SUMIFS($F:$F,$B:$B,B150,$E:$E,E150)=0),"",IF(SUMIFS($I:$I,$B:$B,B150,$E:$E,E150)&gt;0,N(I150)/SUMIFS($I:$I,$B:$B,B150,$E:$E,E150),F150/SUMIFS($F:$F,$B:$B,B150,$E:$E,E150)))</f>
        <v/>
      </c>
      <c r="L150" s="3">
        <f>IF(K150="","",K150*SUMIFS(Daily!$D:$D,Daily!$B:$B,B150,Daily!$A:$A,E150)+N(J150))</f>
        <v/>
      </c>
      <c r="M150" s="3">
        <f>IF(K150="","",K150*SUMIFS(Daily!$G:$G,Daily!$B:$B,B150,Daily!$A:$A,E150))</f>
        <v/>
      </c>
      <c r="N150" s="3">
        <f>IF(K150="","",K150*SUMIFS(Daily!$H:$H,Daily!$B:$B,B150,Daily!$A:$A,E150))</f>
        <v/>
      </c>
      <c r="O150" s="3">
        <f>IF(OR(M150="",F150=0),"",M150/F150*10000)</f>
        <v/>
      </c>
      <c r="P150" s="8" t="n"/>
      <c r="Q150" s="8" t="n"/>
      <c r="R150" s="6">
        <f>IF(OR(F150="",F150=0),"",N(I150)/F150)</f>
        <v/>
      </c>
      <c r="S150" s="3">
        <f>IF(OR(F150="",F150=0),"",(N(H150)+N(Q150))/F150*1000)</f>
        <v/>
      </c>
    </row>
    <row r="151">
      <c r="A151" s="8" t="n"/>
      <c r="B151" s="8" t="n"/>
      <c r="C151" s="8" t="n"/>
      <c r="D151" s="8" t="n"/>
      <c r="E151" s="9" t="n"/>
      <c r="F151" s="8" t="n"/>
      <c r="G151" s="8" t="n"/>
      <c r="H151" s="8" t="n"/>
      <c r="I151" s="8" t="n"/>
      <c r="J151" s="8" t="n"/>
      <c r="K151" s="10">
        <f>IF(OR(F151="",SUMIFS($F:$F,$B:$B,B151,$E:$E,E151)=0),"",IF(SUMIFS($I:$I,$B:$B,B151,$E:$E,E151)&gt;0,N(I151)/SUMIFS($I:$I,$B:$B,B151,$E:$E,E151),F151/SUMIFS($F:$F,$B:$B,B151,$E:$E,E151)))</f>
        <v/>
      </c>
      <c r="L151" s="3">
        <f>IF(K151="","",K151*SUMIFS(Daily!$D:$D,Daily!$B:$B,B151,Daily!$A:$A,E151)+N(J151))</f>
        <v/>
      </c>
      <c r="M151" s="3">
        <f>IF(K151="","",K151*SUMIFS(Daily!$G:$G,Daily!$B:$B,B151,Daily!$A:$A,E151))</f>
        <v/>
      </c>
      <c r="N151" s="3">
        <f>IF(K151="","",K151*SUMIFS(Daily!$H:$H,Daily!$B:$B,B151,Daily!$A:$A,E151))</f>
        <v/>
      </c>
      <c r="O151" s="3">
        <f>IF(OR(M151="",F151=0),"",M151/F151*10000)</f>
        <v/>
      </c>
      <c r="P151" s="8" t="n"/>
      <c r="Q151" s="8" t="n"/>
      <c r="R151" s="6">
        <f>IF(OR(F151="",F151=0),"",N(I151)/F151)</f>
        <v/>
      </c>
      <c r="S151" s="3">
        <f>IF(OR(F151="",F151=0),"",(N(H151)+N(Q151))/F151*1000)</f>
        <v/>
      </c>
    </row>
    <row r="152">
      <c r="A152" s="8" t="n"/>
      <c r="B152" s="8" t="n"/>
      <c r="C152" s="8" t="n"/>
      <c r="D152" s="8" t="n"/>
      <c r="E152" s="9" t="n"/>
      <c r="F152" s="8" t="n"/>
      <c r="G152" s="8" t="n"/>
      <c r="H152" s="8" t="n"/>
      <c r="I152" s="8" t="n"/>
      <c r="J152" s="8" t="n"/>
      <c r="K152" s="10">
        <f>IF(OR(F152="",SUMIFS($F:$F,$B:$B,B152,$E:$E,E152)=0),"",IF(SUMIFS($I:$I,$B:$B,B152,$E:$E,E152)&gt;0,N(I152)/SUMIFS($I:$I,$B:$B,B152,$E:$E,E152),F152/SUMIFS($F:$F,$B:$B,B152,$E:$E,E152)))</f>
        <v/>
      </c>
      <c r="L152" s="3">
        <f>IF(K152="","",K152*SUMIFS(Daily!$D:$D,Daily!$B:$B,B152,Daily!$A:$A,E152)+N(J152))</f>
        <v/>
      </c>
      <c r="M152" s="3">
        <f>IF(K152="","",K152*SUMIFS(Daily!$G:$G,Daily!$B:$B,B152,Daily!$A:$A,E152))</f>
        <v/>
      </c>
      <c r="N152" s="3">
        <f>IF(K152="","",K152*SUMIFS(Daily!$H:$H,Daily!$B:$B,B152,Daily!$A:$A,E152))</f>
        <v/>
      </c>
      <c r="O152" s="3">
        <f>IF(OR(M152="",F152=0),"",M152/F152*10000)</f>
        <v/>
      </c>
      <c r="P152" s="8" t="n"/>
      <c r="Q152" s="8" t="n"/>
      <c r="R152" s="6">
        <f>IF(OR(F152="",F152=0),"",N(I152)/F152)</f>
        <v/>
      </c>
      <c r="S152" s="3">
        <f>IF(OR(F152="",F152=0),"",(N(H152)+N(Q152))/F152*1000)</f>
        <v/>
      </c>
    </row>
    <row r="153">
      <c r="A153" s="8" t="n"/>
      <c r="B153" s="8" t="n"/>
      <c r="C153" s="8" t="n"/>
      <c r="D153" s="8" t="n"/>
      <c r="E153" s="9" t="n"/>
      <c r="F153" s="8" t="n"/>
      <c r="G153" s="8" t="n"/>
      <c r="H153" s="8" t="n"/>
      <c r="I153" s="8" t="n"/>
      <c r="J153" s="8" t="n"/>
      <c r="K153" s="10">
        <f>IF(OR(F153="",SUMIFS($F:$F,$B:$B,B153,$E:$E,E153)=0),"",IF(SUMIFS($I:$I,$B:$B,B153,$E:$E,E153)&gt;0,N(I153)/SUMIFS($I:$I,$B:$B,B153,$E:$E,E153),F153/SUMIFS($F:$F,$B:$B,B153,$E:$E,E153)))</f>
        <v/>
      </c>
      <c r="L153" s="3">
        <f>IF(K153="","",K153*SUMIFS(Daily!$D:$D,Daily!$B:$B,B153,Daily!$A:$A,E153)+N(J153))</f>
        <v/>
      </c>
      <c r="M153" s="3">
        <f>IF(K153="","",K153*SUMIFS(Daily!$G:$G,Daily!$B:$B,B153,Daily!$A:$A,E153))</f>
        <v/>
      </c>
      <c r="N153" s="3">
        <f>IF(K153="","",K153*SUMIFS(Daily!$H:$H,Daily!$B:$B,B153,Daily!$A:$A,E153))</f>
        <v/>
      </c>
      <c r="O153" s="3">
        <f>IF(OR(M153="",F153=0),"",M153/F153*10000)</f>
        <v/>
      </c>
      <c r="P153" s="8" t="n"/>
      <c r="Q153" s="8" t="n"/>
      <c r="R153" s="6">
        <f>IF(OR(F153="",F153=0),"",N(I153)/F153)</f>
        <v/>
      </c>
      <c r="S153" s="3">
        <f>IF(OR(F153="",F153=0),"",(N(H153)+N(Q153))/F153*1000)</f>
        <v/>
      </c>
    </row>
    <row r="154">
      <c r="A154" s="8" t="n"/>
      <c r="B154" s="8" t="n"/>
      <c r="C154" s="8" t="n"/>
      <c r="D154" s="8" t="n"/>
      <c r="E154" s="9" t="n"/>
      <c r="F154" s="8" t="n"/>
      <c r="G154" s="8" t="n"/>
      <c r="H154" s="8" t="n"/>
      <c r="I154" s="8" t="n"/>
      <c r="J154" s="8" t="n"/>
      <c r="K154" s="10">
        <f>IF(OR(F154="",SUMIFS($F:$F,$B:$B,B154,$E:$E,E154)=0),"",IF(SUMIFS($I:$I,$B:$B,B154,$E:$E,E154)&gt;0,N(I154)/SUMIFS($I:$I,$B:$B,B154,$E:$E,E154),F154/SUMIFS($F:$F,$B:$B,B154,$E:$E,E154)))</f>
        <v/>
      </c>
      <c r="L154" s="3">
        <f>IF(K154="","",K154*SUMIFS(Daily!$D:$D,Daily!$B:$B,B154,Daily!$A:$A,E154)+N(J154))</f>
        <v/>
      </c>
      <c r="M154" s="3">
        <f>IF(K154="","",K154*SUMIFS(Daily!$G:$G,Daily!$B:$B,B154,Daily!$A:$A,E154))</f>
        <v/>
      </c>
      <c r="N154" s="3">
        <f>IF(K154="","",K154*SUMIFS(Daily!$H:$H,Daily!$B:$B,B154,Daily!$A:$A,E154))</f>
        <v/>
      </c>
      <c r="O154" s="3">
        <f>IF(OR(M154="",F154=0),"",M154/F154*10000)</f>
        <v/>
      </c>
      <c r="P154" s="8" t="n"/>
      <c r="Q154" s="8" t="n"/>
      <c r="R154" s="6">
        <f>IF(OR(F154="",F154=0),"",N(I154)/F154)</f>
        <v/>
      </c>
      <c r="S154" s="3">
        <f>IF(OR(F154="",F154=0),"",(N(H154)+N(Q154))/F154*1000)</f>
        <v/>
      </c>
    </row>
    <row r="155">
      <c r="A155" s="8" t="n"/>
      <c r="B155" s="8" t="n"/>
      <c r="C155" s="8" t="n"/>
      <c r="D155" s="8" t="n"/>
      <c r="E155" s="9" t="n"/>
      <c r="F155" s="8" t="n"/>
      <c r="G155" s="8" t="n"/>
      <c r="H155" s="8" t="n"/>
      <c r="I155" s="8" t="n"/>
      <c r="J155" s="8" t="n"/>
      <c r="K155" s="10">
        <f>IF(OR(F155="",SUMIFS($F:$F,$B:$B,B155,$E:$E,E155)=0),"",IF(SUMIFS($I:$I,$B:$B,B155,$E:$E,E155)&gt;0,N(I155)/SUMIFS($I:$I,$B:$B,B155,$E:$E,E155),F155/SUMIFS($F:$F,$B:$B,B155,$E:$E,E155)))</f>
        <v/>
      </c>
      <c r="L155" s="3">
        <f>IF(K155="","",K155*SUMIFS(Daily!$D:$D,Daily!$B:$B,B155,Daily!$A:$A,E155)+N(J155))</f>
        <v/>
      </c>
      <c r="M155" s="3">
        <f>IF(K155="","",K155*SUMIFS(Daily!$G:$G,Daily!$B:$B,B155,Daily!$A:$A,E155))</f>
        <v/>
      </c>
      <c r="N155" s="3">
        <f>IF(K155="","",K155*SUMIFS(Daily!$H:$H,Daily!$B:$B,B155,Daily!$A:$A,E155))</f>
        <v/>
      </c>
      <c r="O155" s="3">
        <f>IF(OR(M155="",F155=0),"",M155/F155*10000)</f>
        <v/>
      </c>
      <c r="P155" s="8" t="n"/>
      <c r="Q155" s="8" t="n"/>
      <c r="R155" s="6">
        <f>IF(OR(F155="",F155=0),"",N(I155)/F155)</f>
        <v/>
      </c>
      <c r="S155" s="3">
        <f>IF(OR(F155="",F155=0),"",(N(H155)+N(Q155))/F155*1000)</f>
        <v/>
      </c>
    </row>
    <row r="156">
      <c r="A156" s="8" t="n"/>
      <c r="B156" s="8" t="n"/>
      <c r="C156" s="8" t="n"/>
      <c r="D156" s="8" t="n"/>
      <c r="E156" s="9" t="n"/>
      <c r="F156" s="8" t="n"/>
      <c r="G156" s="8" t="n"/>
      <c r="H156" s="8" t="n"/>
      <c r="I156" s="8" t="n"/>
      <c r="J156" s="8" t="n"/>
      <c r="K156" s="10">
        <f>IF(OR(F156="",SUMIFS($F:$F,$B:$B,B156,$E:$E,E156)=0),"",IF(SUMIFS($I:$I,$B:$B,B156,$E:$E,E156)&gt;0,N(I156)/SUMIFS($I:$I,$B:$B,B156,$E:$E,E156),F156/SUMIFS($F:$F,$B:$B,B156,$E:$E,E156)))</f>
        <v/>
      </c>
      <c r="L156" s="3">
        <f>IF(K156="","",K156*SUMIFS(Daily!$D:$D,Daily!$B:$B,B156,Daily!$A:$A,E156)+N(J156))</f>
        <v/>
      </c>
      <c r="M156" s="3">
        <f>IF(K156="","",K156*SUMIFS(Daily!$G:$G,Daily!$B:$B,B156,Daily!$A:$A,E156))</f>
        <v/>
      </c>
      <c r="N156" s="3">
        <f>IF(K156="","",K156*SUMIFS(Daily!$H:$H,Daily!$B:$B,B156,Daily!$A:$A,E156))</f>
        <v/>
      </c>
      <c r="O156" s="3">
        <f>IF(OR(M156="",F156=0),"",M156/F156*10000)</f>
        <v/>
      </c>
      <c r="P156" s="8" t="n"/>
      <c r="Q156" s="8" t="n"/>
      <c r="R156" s="6">
        <f>IF(OR(F156="",F156=0),"",N(I156)/F156)</f>
        <v/>
      </c>
      <c r="S156" s="3">
        <f>IF(OR(F156="",F156=0),"",(N(H156)+N(Q156))/F156*1000)</f>
        <v/>
      </c>
    </row>
    <row r="157">
      <c r="A157" s="8" t="n"/>
      <c r="B157" s="8" t="n"/>
      <c r="C157" s="8" t="n"/>
      <c r="D157" s="8" t="n"/>
      <c r="E157" s="9" t="n"/>
      <c r="F157" s="8" t="n"/>
      <c r="G157" s="8" t="n"/>
      <c r="H157" s="8" t="n"/>
      <c r="I157" s="8" t="n"/>
      <c r="J157" s="8" t="n"/>
      <c r="K157" s="10">
        <f>IF(OR(F157="",SUMIFS($F:$F,$B:$B,B157,$E:$E,E157)=0),"",IF(SUMIFS($I:$I,$B:$B,B157,$E:$E,E157)&gt;0,N(I157)/SUMIFS($I:$I,$B:$B,B157,$E:$E,E157),F157/SUMIFS($F:$F,$B:$B,B157,$E:$E,E157)))</f>
        <v/>
      </c>
      <c r="L157" s="3">
        <f>IF(K157="","",K157*SUMIFS(Daily!$D:$D,Daily!$B:$B,B157,Daily!$A:$A,E157)+N(J157))</f>
        <v/>
      </c>
      <c r="M157" s="3">
        <f>IF(K157="","",K157*SUMIFS(Daily!$G:$G,Daily!$B:$B,B157,Daily!$A:$A,E157))</f>
        <v/>
      </c>
      <c r="N157" s="3">
        <f>IF(K157="","",K157*SUMIFS(Daily!$H:$H,Daily!$B:$B,B157,Daily!$A:$A,E157))</f>
        <v/>
      </c>
      <c r="O157" s="3">
        <f>IF(OR(M157="",F157=0),"",M157/F157*10000)</f>
        <v/>
      </c>
      <c r="P157" s="8" t="n"/>
      <c r="Q157" s="8" t="n"/>
      <c r="R157" s="6">
        <f>IF(OR(F157="",F157=0),"",N(I157)/F157)</f>
        <v/>
      </c>
      <c r="S157" s="3">
        <f>IF(OR(F157="",F157=0),"",(N(H157)+N(Q157))/F157*1000)</f>
        <v/>
      </c>
    </row>
    <row r="158">
      <c r="A158" s="8" t="n"/>
      <c r="B158" s="8" t="n"/>
      <c r="C158" s="8" t="n"/>
      <c r="D158" s="8" t="n"/>
      <c r="E158" s="9" t="n"/>
      <c r="F158" s="8" t="n"/>
      <c r="G158" s="8" t="n"/>
      <c r="H158" s="8" t="n"/>
      <c r="I158" s="8" t="n"/>
      <c r="J158" s="8" t="n"/>
      <c r="K158" s="10">
        <f>IF(OR(F158="",SUMIFS($F:$F,$B:$B,B158,$E:$E,E158)=0),"",IF(SUMIFS($I:$I,$B:$B,B158,$E:$E,E158)&gt;0,N(I158)/SUMIFS($I:$I,$B:$B,B158,$E:$E,E158),F158/SUMIFS($F:$F,$B:$B,B158,$E:$E,E158)))</f>
        <v/>
      </c>
      <c r="L158" s="3">
        <f>IF(K158="","",K158*SUMIFS(Daily!$D:$D,Daily!$B:$B,B158,Daily!$A:$A,E158)+N(J158))</f>
        <v/>
      </c>
      <c r="M158" s="3">
        <f>IF(K158="","",K158*SUMIFS(Daily!$G:$G,Daily!$B:$B,B158,Daily!$A:$A,E158))</f>
        <v/>
      </c>
      <c r="N158" s="3">
        <f>IF(K158="","",K158*SUMIFS(Daily!$H:$H,Daily!$B:$B,B158,Daily!$A:$A,E158))</f>
        <v/>
      </c>
      <c r="O158" s="3">
        <f>IF(OR(M158="",F158=0),"",M158/F158*10000)</f>
        <v/>
      </c>
      <c r="P158" s="8" t="n"/>
      <c r="Q158" s="8" t="n"/>
      <c r="R158" s="6">
        <f>IF(OR(F158="",F158=0),"",N(I158)/F158)</f>
        <v/>
      </c>
      <c r="S158" s="3">
        <f>IF(OR(F158="",F158=0),"",(N(H158)+N(Q158))/F158*1000)</f>
        <v/>
      </c>
    </row>
    <row r="159">
      <c r="A159" s="8" t="n"/>
      <c r="B159" s="8" t="n"/>
      <c r="C159" s="8" t="n"/>
      <c r="D159" s="8" t="n"/>
      <c r="E159" s="9" t="n"/>
      <c r="F159" s="8" t="n"/>
      <c r="G159" s="8" t="n"/>
      <c r="H159" s="8" t="n"/>
      <c r="I159" s="8" t="n"/>
      <c r="J159" s="8" t="n"/>
      <c r="K159" s="10">
        <f>IF(OR(F159="",SUMIFS($F:$F,$B:$B,B159,$E:$E,E159)=0),"",IF(SUMIFS($I:$I,$B:$B,B159,$E:$E,E159)&gt;0,N(I159)/SUMIFS($I:$I,$B:$B,B159,$E:$E,E159),F159/SUMIFS($F:$F,$B:$B,B159,$E:$E,E159)))</f>
        <v/>
      </c>
      <c r="L159" s="3">
        <f>IF(K159="","",K159*SUMIFS(Daily!$D:$D,Daily!$B:$B,B159,Daily!$A:$A,E159)+N(J159))</f>
        <v/>
      </c>
      <c r="M159" s="3">
        <f>IF(K159="","",K159*SUMIFS(Daily!$G:$G,Daily!$B:$B,B159,Daily!$A:$A,E159))</f>
        <v/>
      </c>
      <c r="N159" s="3">
        <f>IF(K159="","",K159*SUMIFS(Daily!$H:$H,Daily!$B:$B,B159,Daily!$A:$A,E159))</f>
        <v/>
      </c>
      <c r="O159" s="3">
        <f>IF(OR(M159="",F159=0),"",M159/F159*10000)</f>
        <v/>
      </c>
      <c r="P159" s="8" t="n"/>
      <c r="Q159" s="8" t="n"/>
      <c r="R159" s="6">
        <f>IF(OR(F159="",F159=0),"",N(I159)/F159)</f>
        <v/>
      </c>
      <c r="S159" s="3">
        <f>IF(OR(F159="",F159=0),"",(N(H159)+N(Q159))/F159*1000)</f>
        <v/>
      </c>
    </row>
    <row r="160">
      <c r="A160" s="8" t="n"/>
      <c r="B160" s="8" t="n"/>
      <c r="C160" s="8" t="n"/>
      <c r="D160" s="8" t="n"/>
      <c r="E160" s="9" t="n"/>
      <c r="F160" s="8" t="n"/>
      <c r="G160" s="8" t="n"/>
      <c r="H160" s="8" t="n"/>
      <c r="I160" s="8" t="n"/>
      <c r="J160" s="8" t="n"/>
      <c r="K160" s="10">
        <f>IF(OR(F160="",SUMIFS($F:$F,$B:$B,B160,$E:$E,E160)=0),"",IF(SUMIFS($I:$I,$B:$B,B160,$E:$E,E160)&gt;0,N(I160)/SUMIFS($I:$I,$B:$B,B160,$E:$E,E160),F160/SUMIFS($F:$F,$B:$B,B160,$E:$E,E160)))</f>
        <v/>
      </c>
      <c r="L160" s="3">
        <f>IF(K160="","",K160*SUMIFS(Daily!$D:$D,Daily!$B:$B,B160,Daily!$A:$A,E160)+N(J160))</f>
        <v/>
      </c>
      <c r="M160" s="3">
        <f>IF(K160="","",K160*SUMIFS(Daily!$G:$G,Daily!$B:$B,B160,Daily!$A:$A,E160))</f>
        <v/>
      </c>
      <c r="N160" s="3">
        <f>IF(K160="","",K160*SUMIFS(Daily!$H:$H,Daily!$B:$B,B160,Daily!$A:$A,E160))</f>
        <v/>
      </c>
      <c r="O160" s="3">
        <f>IF(OR(M160="",F160=0),"",M160/F160*10000)</f>
        <v/>
      </c>
      <c r="P160" s="8" t="n"/>
      <c r="Q160" s="8" t="n"/>
      <c r="R160" s="6">
        <f>IF(OR(F160="",F160=0),"",N(I160)/F160)</f>
        <v/>
      </c>
      <c r="S160" s="3">
        <f>IF(OR(F160="",F160=0),"",(N(H160)+N(Q160))/F160*1000)</f>
        <v/>
      </c>
    </row>
    <row r="161">
      <c r="A161" s="8" t="n"/>
      <c r="B161" s="8" t="n"/>
      <c r="C161" s="8" t="n"/>
      <c r="D161" s="8" t="n"/>
      <c r="E161" s="9" t="n"/>
      <c r="F161" s="8" t="n"/>
      <c r="G161" s="8" t="n"/>
      <c r="H161" s="8" t="n"/>
      <c r="I161" s="8" t="n"/>
      <c r="J161" s="8" t="n"/>
      <c r="K161" s="10">
        <f>IF(OR(F161="",SUMIFS($F:$F,$B:$B,B161,$E:$E,E161)=0),"",IF(SUMIFS($I:$I,$B:$B,B161,$E:$E,E161)&gt;0,N(I161)/SUMIFS($I:$I,$B:$B,B161,$E:$E,E161),F161/SUMIFS($F:$F,$B:$B,B161,$E:$E,E161)))</f>
        <v/>
      </c>
      <c r="L161" s="3">
        <f>IF(K161="","",K161*SUMIFS(Daily!$D:$D,Daily!$B:$B,B161,Daily!$A:$A,E161)+N(J161))</f>
        <v/>
      </c>
      <c r="M161" s="3">
        <f>IF(K161="","",K161*SUMIFS(Daily!$G:$G,Daily!$B:$B,B161,Daily!$A:$A,E161))</f>
        <v/>
      </c>
      <c r="N161" s="3">
        <f>IF(K161="","",K161*SUMIFS(Daily!$H:$H,Daily!$B:$B,B161,Daily!$A:$A,E161))</f>
        <v/>
      </c>
      <c r="O161" s="3">
        <f>IF(OR(M161="",F161=0),"",M161/F161*10000)</f>
        <v/>
      </c>
      <c r="P161" s="8" t="n"/>
      <c r="Q161" s="8" t="n"/>
      <c r="R161" s="6">
        <f>IF(OR(F161="",F161=0),"",N(I161)/F161)</f>
        <v/>
      </c>
      <c r="S161" s="3">
        <f>IF(OR(F161="",F161=0),"",(N(H161)+N(Q161))/F161*1000)</f>
        <v/>
      </c>
    </row>
    <row r="162">
      <c r="A162" s="8" t="n"/>
      <c r="B162" s="8" t="n"/>
      <c r="C162" s="8" t="n"/>
      <c r="D162" s="8" t="n"/>
      <c r="E162" s="9" t="n"/>
      <c r="F162" s="8" t="n"/>
      <c r="G162" s="8" t="n"/>
      <c r="H162" s="8" t="n"/>
      <c r="I162" s="8" t="n"/>
      <c r="J162" s="8" t="n"/>
      <c r="K162" s="10">
        <f>IF(OR(F162="",SUMIFS($F:$F,$B:$B,B162,$E:$E,E162)=0),"",IF(SUMIFS($I:$I,$B:$B,B162,$E:$E,E162)&gt;0,N(I162)/SUMIFS($I:$I,$B:$B,B162,$E:$E,E162),F162/SUMIFS($F:$F,$B:$B,B162,$E:$E,E162)))</f>
        <v/>
      </c>
      <c r="L162" s="3">
        <f>IF(K162="","",K162*SUMIFS(Daily!$D:$D,Daily!$B:$B,B162,Daily!$A:$A,E162)+N(J162))</f>
        <v/>
      </c>
      <c r="M162" s="3">
        <f>IF(K162="","",K162*SUMIFS(Daily!$G:$G,Daily!$B:$B,B162,Daily!$A:$A,E162))</f>
        <v/>
      </c>
      <c r="N162" s="3">
        <f>IF(K162="","",K162*SUMIFS(Daily!$H:$H,Daily!$B:$B,B162,Daily!$A:$A,E162))</f>
        <v/>
      </c>
      <c r="O162" s="3">
        <f>IF(OR(M162="",F162=0),"",M162/F162*10000)</f>
        <v/>
      </c>
      <c r="P162" s="8" t="n"/>
      <c r="Q162" s="8" t="n"/>
      <c r="R162" s="6">
        <f>IF(OR(F162="",F162=0),"",N(I162)/F162)</f>
        <v/>
      </c>
      <c r="S162" s="3">
        <f>IF(OR(F162="",F162=0),"",(N(H162)+N(Q162))/F162*1000)</f>
        <v/>
      </c>
    </row>
    <row r="163">
      <c r="A163" s="8" t="n"/>
      <c r="B163" s="8" t="n"/>
      <c r="C163" s="8" t="n"/>
      <c r="D163" s="8" t="n"/>
      <c r="E163" s="9" t="n"/>
      <c r="F163" s="8" t="n"/>
      <c r="G163" s="8" t="n"/>
      <c r="H163" s="8" t="n"/>
      <c r="I163" s="8" t="n"/>
      <c r="J163" s="8" t="n"/>
      <c r="K163" s="10">
        <f>IF(OR(F163="",SUMIFS($F:$F,$B:$B,B163,$E:$E,E163)=0),"",IF(SUMIFS($I:$I,$B:$B,B163,$E:$E,E163)&gt;0,N(I163)/SUMIFS($I:$I,$B:$B,B163,$E:$E,E163),F163/SUMIFS($F:$F,$B:$B,B163,$E:$E,E163)))</f>
        <v/>
      </c>
      <c r="L163" s="3">
        <f>IF(K163="","",K163*SUMIFS(Daily!$D:$D,Daily!$B:$B,B163,Daily!$A:$A,E163)+N(J163))</f>
        <v/>
      </c>
      <c r="M163" s="3">
        <f>IF(K163="","",K163*SUMIFS(Daily!$G:$G,Daily!$B:$B,B163,Daily!$A:$A,E163))</f>
        <v/>
      </c>
      <c r="N163" s="3">
        <f>IF(K163="","",K163*SUMIFS(Daily!$H:$H,Daily!$B:$B,B163,Daily!$A:$A,E163))</f>
        <v/>
      </c>
      <c r="O163" s="3">
        <f>IF(OR(M163="",F163=0),"",M163/F163*10000)</f>
        <v/>
      </c>
      <c r="P163" s="8" t="n"/>
      <c r="Q163" s="8" t="n"/>
      <c r="R163" s="6">
        <f>IF(OR(F163="",F163=0),"",N(I163)/F163)</f>
        <v/>
      </c>
      <c r="S163" s="3">
        <f>IF(OR(F163="",F163=0),"",(N(H163)+N(Q163))/F163*1000)</f>
        <v/>
      </c>
    </row>
    <row r="164">
      <c r="A164" s="8" t="n"/>
      <c r="B164" s="8" t="n"/>
      <c r="C164" s="8" t="n"/>
      <c r="D164" s="8" t="n"/>
      <c r="E164" s="9" t="n"/>
      <c r="F164" s="8" t="n"/>
      <c r="G164" s="8" t="n"/>
      <c r="H164" s="8" t="n"/>
      <c r="I164" s="8" t="n"/>
      <c r="J164" s="8" t="n"/>
      <c r="K164" s="10">
        <f>IF(OR(F164="",SUMIFS($F:$F,$B:$B,B164,$E:$E,E164)=0),"",IF(SUMIFS($I:$I,$B:$B,B164,$E:$E,E164)&gt;0,N(I164)/SUMIFS($I:$I,$B:$B,B164,$E:$E,E164),F164/SUMIFS($F:$F,$B:$B,B164,$E:$E,E164)))</f>
        <v/>
      </c>
      <c r="L164" s="3">
        <f>IF(K164="","",K164*SUMIFS(Daily!$D:$D,Daily!$B:$B,B164,Daily!$A:$A,E164)+N(J164))</f>
        <v/>
      </c>
      <c r="M164" s="3">
        <f>IF(K164="","",K164*SUMIFS(Daily!$G:$G,Daily!$B:$B,B164,Daily!$A:$A,E164))</f>
        <v/>
      </c>
      <c r="N164" s="3">
        <f>IF(K164="","",K164*SUMIFS(Daily!$H:$H,Daily!$B:$B,B164,Daily!$A:$A,E164))</f>
        <v/>
      </c>
      <c r="O164" s="3">
        <f>IF(OR(M164="",F164=0),"",M164/F164*10000)</f>
        <v/>
      </c>
      <c r="P164" s="8" t="n"/>
      <c r="Q164" s="8" t="n"/>
      <c r="R164" s="6">
        <f>IF(OR(F164="",F164=0),"",N(I164)/F164)</f>
        <v/>
      </c>
      <c r="S164" s="3">
        <f>IF(OR(F164="",F164=0),"",(N(H164)+N(Q164))/F164*1000)</f>
        <v/>
      </c>
    </row>
    <row r="165">
      <c r="A165" s="8" t="n"/>
      <c r="B165" s="8" t="n"/>
      <c r="C165" s="8" t="n"/>
      <c r="D165" s="8" t="n"/>
      <c r="E165" s="9" t="n"/>
      <c r="F165" s="8" t="n"/>
      <c r="G165" s="8" t="n"/>
      <c r="H165" s="8" t="n"/>
      <c r="I165" s="8" t="n"/>
      <c r="J165" s="8" t="n"/>
      <c r="K165" s="10">
        <f>IF(OR(F165="",SUMIFS($F:$F,$B:$B,B165,$E:$E,E165)=0),"",IF(SUMIFS($I:$I,$B:$B,B165,$E:$E,E165)&gt;0,N(I165)/SUMIFS($I:$I,$B:$B,B165,$E:$E,E165),F165/SUMIFS($F:$F,$B:$B,B165,$E:$E,E165)))</f>
        <v/>
      </c>
      <c r="L165" s="3">
        <f>IF(K165="","",K165*SUMIFS(Daily!$D:$D,Daily!$B:$B,B165,Daily!$A:$A,E165)+N(J165))</f>
        <v/>
      </c>
      <c r="M165" s="3">
        <f>IF(K165="","",K165*SUMIFS(Daily!$G:$G,Daily!$B:$B,B165,Daily!$A:$A,E165))</f>
        <v/>
      </c>
      <c r="N165" s="3">
        <f>IF(K165="","",K165*SUMIFS(Daily!$H:$H,Daily!$B:$B,B165,Daily!$A:$A,E165))</f>
        <v/>
      </c>
      <c r="O165" s="3">
        <f>IF(OR(M165="",F165=0),"",M165/F165*10000)</f>
        <v/>
      </c>
      <c r="P165" s="8" t="n"/>
      <c r="Q165" s="8" t="n"/>
      <c r="R165" s="6">
        <f>IF(OR(F165="",F165=0),"",N(I165)/F165)</f>
        <v/>
      </c>
      <c r="S165" s="3">
        <f>IF(OR(F165="",F165=0),"",(N(H165)+N(Q165))/F165*1000)</f>
        <v/>
      </c>
    </row>
    <row r="166">
      <c r="A166" s="8" t="n"/>
      <c r="B166" s="8" t="n"/>
      <c r="C166" s="8" t="n"/>
      <c r="D166" s="8" t="n"/>
      <c r="E166" s="9" t="n"/>
      <c r="F166" s="8" t="n"/>
      <c r="G166" s="8" t="n"/>
      <c r="H166" s="8" t="n"/>
      <c r="I166" s="8" t="n"/>
      <c r="J166" s="8" t="n"/>
      <c r="K166" s="10">
        <f>IF(OR(F166="",SUMIFS($F:$F,$B:$B,B166,$E:$E,E166)=0),"",IF(SUMIFS($I:$I,$B:$B,B166,$E:$E,E166)&gt;0,N(I166)/SUMIFS($I:$I,$B:$B,B166,$E:$E,E166),F166/SUMIFS($F:$F,$B:$B,B166,$E:$E,E166)))</f>
        <v/>
      </c>
      <c r="L166" s="3">
        <f>IF(K166="","",K166*SUMIFS(Daily!$D:$D,Daily!$B:$B,B166,Daily!$A:$A,E166)+N(J166))</f>
        <v/>
      </c>
      <c r="M166" s="3">
        <f>IF(K166="","",K166*SUMIFS(Daily!$G:$G,Daily!$B:$B,B166,Daily!$A:$A,E166))</f>
        <v/>
      </c>
      <c r="N166" s="3">
        <f>IF(K166="","",K166*SUMIFS(Daily!$H:$H,Daily!$B:$B,B166,Daily!$A:$A,E166))</f>
        <v/>
      </c>
      <c r="O166" s="3">
        <f>IF(OR(M166="",F166=0),"",M166/F166*10000)</f>
        <v/>
      </c>
      <c r="P166" s="8" t="n"/>
      <c r="Q166" s="8" t="n"/>
      <c r="R166" s="6">
        <f>IF(OR(F166="",F166=0),"",N(I166)/F166)</f>
        <v/>
      </c>
      <c r="S166" s="3">
        <f>IF(OR(F166="",F166=0),"",(N(H166)+N(Q166))/F166*1000)</f>
        <v/>
      </c>
    </row>
    <row r="167">
      <c r="A167" s="8" t="n"/>
      <c r="B167" s="8" t="n"/>
      <c r="C167" s="8" t="n"/>
      <c r="D167" s="8" t="n"/>
      <c r="E167" s="9" t="n"/>
      <c r="F167" s="8" t="n"/>
      <c r="G167" s="8" t="n"/>
      <c r="H167" s="8" t="n"/>
      <c r="I167" s="8" t="n"/>
      <c r="J167" s="8" t="n"/>
      <c r="K167" s="10">
        <f>IF(OR(F167="",SUMIFS($F:$F,$B:$B,B167,$E:$E,E167)=0),"",IF(SUMIFS($I:$I,$B:$B,B167,$E:$E,E167)&gt;0,N(I167)/SUMIFS($I:$I,$B:$B,B167,$E:$E,E167),F167/SUMIFS($F:$F,$B:$B,B167,$E:$E,E167)))</f>
        <v/>
      </c>
      <c r="L167" s="3">
        <f>IF(K167="","",K167*SUMIFS(Daily!$D:$D,Daily!$B:$B,B167,Daily!$A:$A,E167)+N(J167))</f>
        <v/>
      </c>
      <c r="M167" s="3">
        <f>IF(K167="","",K167*SUMIFS(Daily!$G:$G,Daily!$B:$B,B167,Daily!$A:$A,E167))</f>
        <v/>
      </c>
      <c r="N167" s="3">
        <f>IF(K167="","",K167*SUMIFS(Daily!$H:$H,Daily!$B:$B,B167,Daily!$A:$A,E167))</f>
        <v/>
      </c>
      <c r="O167" s="3">
        <f>IF(OR(M167="",F167=0),"",M167/F167*10000)</f>
        <v/>
      </c>
      <c r="P167" s="8" t="n"/>
      <c r="Q167" s="8" t="n"/>
      <c r="R167" s="6">
        <f>IF(OR(F167="",F167=0),"",N(I167)/F167)</f>
        <v/>
      </c>
      <c r="S167" s="3">
        <f>IF(OR(F167="",F167=0),"",(N(H167)+N(Q167))/F167*1000)</f>
        <v/>
      </c>
    </row>
    <row r="168">
      <c r="A168" s="8" t="n"/>
      <c r="B168" s="8" t="n"/>
      <c r="C168" s="8" t="n"/>
      <c r="D168" s="8" t="n"/>
      <c r="E168" s="9" t="n"/>
      <c r="F168" s="8" t="n"/>
      <c r="G168" s="8" t="n"/>
      <c r="H168" s="8" t="n"/>
      <c r="I168" s="8" t="n"/>
      <c r="J168" s="8" t="n"/>
      <c r="K168" s="10">
        <f>IF(OR(F168="",SUMIFS($F:$F,$B:$B,B168,$E:$E,E168)=0),"",IF(SUMIFS($I:$I,$B:$B,B168,$E:$E,E168)&gt;0,N(I168)/SUMIFS($I:$I,$B:$B,B168,$E:$E,E168),F168/SUMIFS($F:$F,$B:$B,B168,$E:$E,E168)))</f>
        <v/>
      </c>
      <c r="L168" s="3">
        <f>IF(K168="","",K168*SUMIFS(Daily!$D:$D,Daily!$B:$B,B168,Daily!$A:$A,E168)+N(J168))</f>
        <v/>
      </c>
      <c r="M168" s="3">
        <f>IF(K168="","",K168*SUMIFS(Daily!$G:$G,Daily!$B:$B,B168,Daily!$A:$A,E168))</f>
        <v/>
      </c>
      <c r="N168" s="3">
        <f>IF(K168="","",K168*SUMIFS(Daily!$H:$H,Daily!$B:$B,B168,Daily!$A:$A,E168))</f>
        <v/>
      </c>
      <c r="O168" s="3">
        <f>IF(OR(M168="",F168=0),"",M168/F168*10000)</f>
        <v/>
      </c>
      <c r="P168" s="8" t="n"/>
      <c r="Q168" s="8" t="n"/>
      <c r="R168" s="6">
        <f>IF(OR(F168="",F168=0),"",N(I168)/F168)</f>
        <v/>
      </c>
      <c r="S168" s="3">
        <f>IF(OR(F168="",F168=0),"",(N(H168)+N(Q168))/F168*1000)</f>
        <v/>
      </c>
    </row>
    <row r="169">
      <c r="A169" s="8" t="n"/>
      <c r="B169" s="8" t="n"/>
      <c r="C169" s="8" t="n"/>
      <c r="D169" s="8" t="n"/>
      <c r="E169" s="9" t="n"/>
      <c r="F169" s="8" t="n"/>
      <c r="G169" s="8" t="n"/>
      <c r="H169" s="8" t="n"/>
      <c r="I169" s="8" t="n"/>
      <c r="J169" s="8" t="n"/>
      <c r="K169" s="10">
        <f>IF(OR(F169="",SUMIFS($F:$F,$B:$B,B169,$E:$E,E169)=0),"",IF(SUMIFS($I:$I,$B:$B,B169,$E:$E,E169)&gt;0,N(I169)/SUMIFS($I:$I,$B:$B,B169,$E:$E,E169),F169/SUMIFS($F:$F,$B:$B,B169,$E:$E,E169)))</f>
        <v/>
      </c>
      <c r="L169" s="3">
        <f>IF(K169="","",K169*SUMIFS(Daily!$D:$D,Daily!$B:$B,B169,Daily!$A:$A,E169)+N(J169))</f>
        <v/>
      </c>
      <c r="M169" s="3">
        <f>IF(K169="","",K169*SUMIFS(Daily!$G:$G,Daily!$B:$B,B169,Daily!$A:$A,E169))</f>
        <v/>
      </c>
      <c r="N169" s="3">
        <f>IF(K169="","",K169*SUMIFS(Daily!$H:$H,Daily!$B:$B,B169,Daily!$A:$A,E169))</f>
        <v/>
      </c>
      <c r="O169" s="3">
        <f>IF(OR(M169="",F169=0),"",M169/F169*10000)</f>
        <v/>
      </c>
      <c r="P169" s="8" t="n"/>
      <c r="Q169" s="8" t="n"/>
      <c r="R169" s="6">
        <f>IF(OR(F169="",F169=0),"",N(I169)/F169)</f>
        <v/>
      </c>
      <c r="S169" s="3">
        <f>IF(OR(F169="",F169=0),"",(N(H169)+N(Q169))/F169*1000)</f>
        <v/>
      </c>
    </row>
    <row r="170">
      <c r="A170" s="8" t="n"/>
      <c r="B170" s="8" t="n"/>
      <c r="C170" s="8" t="n"/>
      <c r="D170" s="8" t="n"/>
      <c r="E170" s="9" t="n"/>
      <c r="F170" s="8" t="n"/>
      <c r="G170" s="8" t="n"/>
      <c r="H170" s="8" t="n"/>
      <c r="I170" s="8" t="n"/>
      <c r="J170" s="8" t="n"/>
      <c r="K170" s="10">
        <f>IF(OR(F170="",SUMIFS($F:$F,$B:$B,B170,$E:$E,E170)=0),"",IF(SUMIFS($I:$I,$B:$B,B170,$E:$E,E170)&gt;0,N(I170)/SUMIFS($I:$I,$B:$B,B170,$E:$E,E170),F170/SUMIFS($F:$F,$B:$B,B170,$E:$E,E170)))</f>
        <v/>
      </c>
      <c r="L170" s="3">
        <f>IF(K170="","",K170*SUMIFS(Daily!$D:$D,Daily!$B:$B,B170,Daily!$A:$A,E170)+N(J170))</f>
        <v/>
      </c>
      <c r="M170" s="3">
        <f>IF(K170="","",K170*SUMIFS(Daily!$G:$G,Daily!$B:$B,B170,Daily!$A:$A,E170))</f>
        <v/>
      </c>
      <c r="N170" s="3">
        <f>IF(K170="","",K170*SUMIFS(Daily!$H:$H,Daily!$B:$B,B170,Daily!$A:$A,E170))</f>
        <v/>
      </c>
      <c r="O170" s="3">
        <f>IF(OR(M170="",F170=0),"",M170/F170*10000)</f>
        <v/>
      </c>
      <c r="P170" s="8" t="n"/>
      <c r="Q170" s="8" t="n"/>
      <c r="R170" s="6">
        <f>IF(OR(F170="",F170=0),"",N(I170)/F170)</f>
        <v/>
      </c>
      <c r="S170" s="3">
        <f>IF(OR(F170="",F170=0),"",(N(H170)+N(Q170))/F170*1000)</f>
        <v/>
      </c>
    </row>
    <row r="171">
      <c r="A171" s="8" t="n"/>
      <c r="B171" s="8" t="n"/>
      <c r="C171" s="8" t="n"/>
      <c r="D171" s="8" t="n"/>
      <c r="E171" s="9" t="n"/>
      <c r="F171" s="8" t="n"/>
      <c r="G171" s="8" t="n"/>
      <c r="H171" s="8" t="n"/>
      <c r="I171" s="8" t="n"/>
      <c r="J171" s="8" t="n"/>
      <c r="K171" s="10">
        <f>IF(OR(F171="",SUMIFS($F:$F,$B:$B,B171,$E:$E,E171)=0),"",IF(SUMIFS($I:$I,$B:$B,B171,$E:$E,E171)&gt;0,N(I171)/SUMIFS($I:$I,$B:$B,B171,$E:$E,E171),F171/SUMIFS($F:$F,$B:$B,B171,$E:$E,E171)))</f>
        <v/>
      </c>
      <c r="L171" s="3">
        <f>IF(K171="","",K171*SUMIFS(Daily!$D:$D,Daily!$B:$B,B171,Daily!$A:$A,E171)+N(J171))</f>
        <v/>
      </c>
      <c r="M171" s="3">
        <f>IF(K171="","",K171*SUMIFS(Daily!$G:$G,Daily!$B:$B,B171,Daily!$A:$A,E171))</f>
        <v/>
      </c>
      <c r="N171" s="3">
        <f>IF(K171="","",K171*SUMIFS(Daily!$H:$H,Daily!$B:$B,B171,Daily!$A:$A,E171))</f>
        <v/>
      </c>
      <c r="O171" s="3">
        <f>IF(OR(M171="",F171=0),"",M171/F171*10000)</f>
        <v/>
      </c>
      <c r="P171" s="8" t="n"/>
      <c r="Q171" s="8" t="n"/>
      <c r="R171" s="6">
        <f>IF(OR(F171="",F171=0),"",N(I171)/F171)</f>
        <v/>
      </c>
      <c r="S171" s="3">
        <f>IF(OR(F171="",F171=0),"",(N(H171)+N(Q171))/F171*1000)</f>
        <v/>
      </c>
    </row>
    <row r="172">
      <c r="A172" s="8" t="n"/>
      <c r="B172" s="8" t="n"/>
      <c r="C172" s="8" t="n"/>
      <c r="D172" s="8" t="n"/>
      <c r="E172" s="9" t="n"/>
      <c r="F172" s="8" t="n"/>
      <c r="G172" s="8" t="n"/>
      <c r="H172" s="8" t="n"/>
      <c r="I172" s="8" t="n"/>
      <c r="J172" s="8" t="n"/>
      <c r="K172" s="10">
        <f>IF(OR(F172="",SUMIFS($F:$F,$B:$B,B172,$E:$E,E172)=0),"",IF(SUMIFS($I:$I,$B:$B,B172,$E:$E,E172)&gt;0,N(I172)/SUMIFS($I:$I,$B:$B,B172,$E:$E,E172),F172/SUMIFS($F:$F,$B:$B,B172,$E:$E,E172)))</f>
        <v/>
      </c>
      <c r="L172" s="3">
        <f>IF(K172="","",K172*SUMIFS(Daily!$D:$D,Daily!$B:$B,B172,Daily!$A:$A,E172)+N(J172))</f>
        <v/>
      </c>
      <c r="M172" s="3">
        <f>IF(K172="","",K172*SUMIFS(Daily!$G:$G,Daily!$B:$B,B172,Daily!$A:$A,E172))</f>
        <v/>
      </c>
      <c r="N172" s="3">
        <f>IF(K172="","",K172*SUMIFS(Daily!$H:$H,Daily!$B:$B,B172,Daily!$A:$A,E172))</f>
        <v/>
      </c>
      <c r="O172" s="3">
        <f>IF(OR(M172="",F172=0),"",M172/F172*10000)</f>
        <v/>
      </c>
      <c r="P172" s="8" t="n"/>
      <c r="Q172" s="8" t="n"/>
      <c r="R172" s="6">
        <f>IF(OR(F172="",F172=0),"",N(I172)/F172)</f>
        <v/>
      </c>
      <c r="S172" s="3">
        <f>IF(OR(F172="",F172=0),"",(N(H172)+N(Q172))/F172*1000)</f>
        <v/>
      </c>
    </row>
    <row r="173">
      <c r="A173" s="8" t="n"/>
      <c r="B173" s="8" t="n"/>
      <c r="C173" s="8" t="n"/>
      <c r="D173" s="8" t="n"/>
      <c r="E173" s="9" t="n"/>
      <c r="F173" s="8" t="n"/>
      <c r="G173" s="8" t="n"/>
      <c r="H173" s="8" t="n"/>
      <c r="I173" s="8" t="n"/>
      <c r="J173" s="8" t="n"/>
      <c r="K173" s="10">
        <f>IF(OR(F173="",SUMIFS($F:$F,$B:$B,B173,$E:$E,E173)=0),"",IF(SUMIFS($I:$I,$B:$B,B173,$E:$E,E173)&gt;0,N(I173)/SUMIFS($I:$I,$B:$B,B173,$E:$E,E173),F173/SUMIFS($F:$F,$B:$B,B173,$E:$E,E173)))</f>
        <v/>
      </c>
      <c r="L173" s="3">
        <f>IF(K173="","",K173*SUMIFS(Daily!$D:$D,Daily!$B:$B,B173,Daily!$A:$A,E173)+N(J173))</f>
        <v/>
      </c>
      <c r="M173" s="3">
        <f>IF(K173="","",K173*SUMIFS(Daily!$G:$G,Daily!$B:$B,B173,Daily!$A:$A,E173))</f>
        <v/>
      </c>
      <c r="N173" s="3">
        <f>IF(K173="","",K173*SUMIFS(Daily!$H:$H,Daily!$B:$B,B173,Daily!$A:$A,E173))</f>
        <v/>
      </c>
      <c r="O173" s="3">
        <f>IF(OR(M173="",F173=0),"",M173/F173*10000)</f>
        <v/>
      </c>
      <c r="P173" s="8" t="n"/>
      <c r="Q173" s="8" t="n"/>
      <c r="R173" s="6">
        <f>IF(OR(F173="",F173=0),"",N(I173)/F173)</f>
        <v/>
      </c>
      <c r="S173" s="3">
        <f>IF(OR(F173="",F173=0),"",(N(H173)+N(Q173))/F173*1000)</f>
        <v/>
      </c>
    </row>
    <row r="174">
      <c r="A174" s="8" t="n"/>
      <c r="B174" s="8" t="n"/>
      <c r="C174" s="8" t="n"/>
      <c r="D174" s="8" t="n"/>
      <c r="E174" s="9" t="n"/>
      <c r="F174" s="8" t="n"/>
      <c r="G174" s="8" t="n"/>
      <c r="H174" s="8" t="n"/>
      <c r="I174" s="8" t="n"/>
      <c r="J174" s="8" t="n"/>
      <c r="K174" s="10">
        <f>IF(OR(F174="",SUMIFS($F:$F,$B:$B,B174,$E:$E,E174)=0),"",IF(SUMIFS($I:$I,$B:$B,B174,$E:$E,E174)&gt;0,N(I174)/SUMIFS($I:$I,$B:$B,B174,$E:$E,E174),F174/SUMIFS($F:$F,$B:$B,B174,$E:$E,E174)))</f>
        <v/>
      </c>
      <c r="L174" s="3">
        <f>IF(K174="","",K174*SUMIFS(Daily!$D:$D,Daily!$B:$B,B174,Daily!$A:$A,E174)+N(J174))</f>
        <v/>
      </c>
      <c r="M174" s="3">
        <f>IF(K174="","",K174*SUMIFS(Daily!$G:$G,Daily!$B:$B,B174,Daily!$A:$A,E174))</f>
        <v/>
      </c>
      <c r="N174" s="3">
        <f>IF(K174="","",K174*SUMIFS(Daily!$H:$H,Daily!$B:$B,B174,Daily!$A:$A,E174))</f>
        <v/>
      </c>
      <c r="O174" s="3">
        <f>IF(OR(M174="",F174=0),"",M174/F174*10000)</f>
        <v/>
      </c>
      <c r="P174" s="8" t="n"/>
      <c r="Q174" s="8" t="n"/>
      <c r="R174" s="6">
        <f>IF(OR(F174="",F174=0),"",N(I174)/F174)</f>
        <v/>
      </c>
      <c r="S174" s="3">
        <f>IF(OR(F174="",F174=0),"",(N(H174)+N(Q174))/F174*1000)</f>
        <v/>
      </c>
    </row>
    <row r="175">
      <c r="A175" s="8" t="n"/>
      <c r="B175" s="8" t="n"/>
      <c r="C175" s="8" t="n"/>
      <c r="D175" s="8" t="n"/>
      <c r="E175" s="9" t="n"/>
      <c r="F175" s="8" t="n"/>
      <c r="G175" s="8" t="n"/>
      <c r="H175" s="8" t="n"/>
      <c r="I175" s="8" t="n"/>
      <c r="J175" s="8" t="n"/>
      <c r="K175" s="10">
        <f>IF(OR(F175="",SUMIFS($F:$F,$B:$B,B175,$E:$E,E175)=0),"",IF(SUMIFS($I:$I,$B:$B,B175,$E:$E,E175)&gt;0,N(I175)/SUMIFS($I:$I,$B:$B,B175,$E:$E,E175),F175/SUMIFS($F:$F,$B:$B,B175,$E:$E,E175)))</f>
        <v/>
      </c>
      <c r="L175" s="3">
        <f>IF(K175="","",K175*SUMIFS(Daily!$D:$D,Daily!$B:$B,B175,Daily!$A:$A,E175)+N(J175))</f>
        <v/>
      </c>
      <c r="M175" s="3">
        <f>IF(K175="","",K175*SUMIFS(Daily!$G:$G,Daily!$B:$B,B175,Daily!$A:$A,E175))</f>
        <v/>
      </c>
      <c r="N175" s="3">
        <f>IF(K175="","",K175*SUMIFS(Daily!$H:$H,Daily!$B:$B,B175,Daily!$A:$A,E175))</f>
        <v/>
      </c>
      <c r="O175" s="3">
        <f>IF(OR(M175="",F175=0),"",M175/F175*10000)</f>
        <v/>
      </c>
      <c r="P175" s="8" t="n"/>
      <c r="Q175" s="8" t="n"/>
      <c r="R175" s="6">
        <f>IF(OR(F175="",F175=0),"",N(I175)/F175)</f>
        <v/>
      </c>
      <c r="S175" s="3">
        <f>IF(OR(F175="",F175=0),"",(N(H175)+N(Q175))/F175*1000)</f>
        <v/>
      </c>
    </row>
    <row r="176">
      <c r="A176" s="8" t="n"/>
      <c r="B176" s="8" t="n"/>
      <c r="C176" s="8" t="n"/>
      <c r="D176" s="8" t="n"/>
      <c r="E176" s="9" t="n"/>
      <c r="F176" s="8" t="n"/>
      <c r="G176" s="8" t="n"/>
      <c r="H176" s="8" t="n"/>
      <c r="I176" s="8" t="n"/>
      <c r="J176" s="8" t="n"/>
      <c r="K176" s="10">
        <f>IF(OR(F176="",SUMIFS($F:$F,$B:$B,B176,$E:$E,E176)=0),"",IF(SUMIFS($I:$I,$B:$B,B176,$E:$E,E176)&gt;0,N(I176)/SUMIFS($I:$I,$B:$B,B176,$E:$E,E176),F176/SUMIFS($F:$F,$B:$B,B176,$E:$E,E176)))</f>
        <v/>
      </c>
      <c r="L176" s="3">
        <f>IF(K176="","",K176*SUMIFS(Daily!$D:$D,Daily!$B:$B,B176,Daily!$A:$A,E176)+N(J176))</f>
        <v/>
      </c>
      <c r="M176" s="3">
        <f>IF(K176="","",K176*SUMIFS(Daily!$G:$G,Daily!$B:$B,B176,Daily!$A:$A,E176))</f>
        <v/>
      </c>
      <c r="N176" s="3">
        <f>IF(K176="","",K176*SUMIFS(Daily!$H:$H,Daily!$B:$B,B176,Daily!$A:$A,E176))</f>
        <v/>
      </c>
      <c r="O176" s="3">
        <f>IF(OR(M176="",F176=0),"",M176/F176*10000)</f>
        <v/>
      </c>
      <c r="P176" s="8" t="n"/>
      <c r="Q176" s="8" t="n"/>
      <c r="R176" s="6">
        <f>IF(OR(F176="",F176=0),"",N(I176)/F176)</f>
        <v/>
      </c>
      <c r="S176" s="3">
        <f>IF(OR(F176="",F176=0),"",(N(H176)+N(Q176))/F176*1000)</f>
        <v/>
      </c>
    </row>
    <row r="177">
      <c r="A177" s="8" t="n"/>
      <c r="B177" s="8" t="n"/>
      <c r="C177" s="8" t="n"/>
      <c r="D177" s="8" t="n"/>
      <c r="E177" s="9" t="n"/>
      <c r="F177" s="8" t="n"/>
      <c r="G177" s="8" t="n"/>
      <c r="H177" s="8" t="n"/>
      <c r="I177" s="8" t="n"/>
      <c r="J177" s="8" t="n"/>
      <c r="K177" s="10">
        <f>IF(OR(F177="",SUMIFS($F:$F,$B:$B,B177,$E:$E,E177)=0),"",IF(SUMIFS($I:$I,$B:$B,B177,$E:$E,E177)&gt;0,N(I177)/SUMIFS($I:$I,$B:$B,B177,$E:$E,E177),F177/SUMIFS($F:$F,$B:$B,B177,$E:$E,E177)))</f>
        <v/>
      </c>
      <c r="L177" s="3">
        <f>IF(K177="","",K177*SUMIFS(Daily!$D:$D,Daily!$B:$B,B177,Daily!$A:$A,E177)+N(J177))</f>
        <v/>
      </c>
      <c r="M177" s="3">
        <f>IF(K177="","",K177*SUMIFS(Daily!$G:$G,Daily!$B:$B,B177,Daily!$A:$A,E177))</f>
        <v/>
      </c>
      <c r="N177" s="3">
        <f>IF(K177="","",K177*SUMIFS(Daily!$H:$H,Daily!$B:$B,B177,Daily!$A:$A,E177))</f>
        <v/>
      </c>
      <c r="O177" s="3">
        <f>IF(OR(M177="",F177=0),"",M177/F177*10000)</f>
        <v/>
      </c>
      <c r="P177" s="8" t="n"/>
      <c r="Q177" s="8" t="n"/>
      <c r="R177" s="6">
        <f>IF(OR(F177="",F177=0),"",N(I177)/F177)</f>
        <v/>
      </c>
      <c r="S177" s="3">
        <f>IF(OR(F177="",F177=0),"",(N(H177)+N(Q177))/F177*1000)</f>
        <v/>
      </c>
    </row>
    <row r="178">
      <c r="A178" s="8" t="n"/>
      <c r="B178" s="8" t="n"/>
      <c r="C178" s="8" t="n"/>
      <c r="D178" s="8" t="n"/>
      <c r="E178" s="9" t="n"/>
      <c r="F178" s="8" t="n"/>
      <c r="G178" s="8" t="n"/>
      <c r="H178" s="8" t="n"/>
      <c r="I178" s="8" t="n"/>
      <c r="J178" s="8" t="n"/>
      <c r="K178" s="10">
        <f>IF(OR(F178="",SUMIFS($F:$F,$B:$B,B178,$E:$E,E178)=0),"",IF(SUMIFS($I:$I,$B:$B,B178,$E:$E,E178)&gt;0,N(I178)/SUMIFS($I:$I,$B:$B,B178,$E:$E,E178),F178/SUMIFS($F:$F,$B:$B,B178,$E:$E,E178)))</f>
        <v/>
      </c>
      <c r="L178" s="3">
        <f>IF(K178="","",K178*SUMIFS(Daily!$D:$D,Daily!$B:$B,B178,Daily!$A:$A,E178)+N(J178))</f>
        <v/>
      </c>
      <c r="M178" s="3">
        <f>IF(K178="","",K178*SUMIFS(Daily!$G:$G,Daily!$B:$B,B178,Daily!$A:$A,E178))</f>
        <v/>
      </c>
      <c r="N178" s="3">
        <f>IF(K178="","",K178*SUMIFS(Daily!$H:$H,Daily!$B:$B,B178,Daily!$A:$A,E178))</f>
        <v/>
      </c>
      <c r="O178" s="3">
        <f>IF(OR(M178="",F178=0),"",M178/F178*10000)</f>
        <v/>
      </c>
      <c r="P178" s="8" t="n"/>
      <c r="Q178" s="8" t="n"/>
      <c r="R178" s="6">
        <f>IF(OR(F178="",F178=0),"",N(I178)/F178)</f>
        <v/>
      </c>
      <c r="S178" s="3">
        <f>IF(OR(F178="",F178=0),"",(N(H178)+N(Q178))/F178*1000)</f>
        <v/>
      </c>
    </row>
    <row r="179">
      <c r="A179" s="8" t="n"/>
      <c r="B179" s="8" t="n"/>
      <c r="C179" s="8" t="n"/>
      <c r="D179" s="8" t="n"/>
      <c r="E179" s="9" t="n"/>
      <c r="F179" s="8" t="n"/>
      <c r="G179" s="8" t="n"/>
      <c r="H179" s="8" t="n"/>
      <c r="I179" s="8" t="n"/>
      <c r="J179" s="8" t="n"/>
      <c r="K179" s="10">
        <f>IF(OR(F179="",SUMIFS($F:$F,$B:$B,B179,$E:$E,E179)=0),"",IF(SUMIFS($I:$I,$B:$B,B179,$E:$E,E179)&gt;0,N(I179)/SUMIFS($I:$I,$B:$B,B179,$E:$E,E179),F179/SUMIFS($F:$F,$B:$B,B179,$E:$E,E179)))</f>
        <v/>
      </c>
      <c r="L179" s="3">
        <f>IF(K179="","",K179*SUMIFS(Daily!$D:$D,Daily!$B:$B,B179,Daily!$A:$A,E179)+N(J179))</f>
        <v/>
      </c>
      <c r="M179" s="3">
        <f>IF(K179="","",K179*SUMIFS(Daily!$G:$G,Daily!$B:$B,B179,Daily!$A:$A,E179))</f>
        <v/>
      </c>
      <c r="N179" s="3">
        <f>IF(K179="","",K179*SUMIFS(Daily!$H:$H,Daily!$B:$B,B179,Daily!$A:$A,E179))</f>
        <v/>
      </c>
      <c r="O179" s="3">
        <f>IF(OR(M179="",F179=0),"",M179/F179*10000)</f>
        <v/>
      </c>
      <c r="P179" s="8" t="n"/>
      <c r="Q179" s="8" t="n"/>
      <c r="R179" s="6">
        <f>IF(OR(F179="",F179=0),"",N(I179)/F179)</f>
        <v/>
      </c>
      <c r="S179" s="3">
        <f>IF(OR(F179="",F179=0),"",(N(H179)+N(Q179))/F179*1000)</f>
        <v/>
      </c>
    </row>
    <row r="180">
      <c r="A180" s="8" t="n"/>
      <c r="B180" s="8" t="n"/>
      <c r="C180" s="8" t="n"/>
      <c r="D180" s="8" t="n"/>
      <c r="E180" s="9" t="n"/>
      <c r="F180" s="8" t="n"/>
      <c r="G180" s="8" t="n"/>
      <c r="H180" s="8" t="n"/>
      <c r="I180" s="8" t="n"/>
      <c r="J180" s="8" t="n"/>
      <c r="K180" s="10">
        <f>IF(OR(F180="",SUMIFS($F:$F,$B:$B,B180,$E:$E,E180)=0),"",IF(SUMIFS($I:$I,$B:$B,B180,$E:$E,E180)&gt;0,N(I180)/SUMIFS($I:$I,$B:$B,B180,$E:$E,E180),F180/SUMIFS($F:$F,$B:$B,B180,$E:$E,E180)))</f>
        <v/>
      </c>
      <c r="L180" s="3">
        <f>IF(K180="","",K180*SUMIFS(Daily!$D:$D,Daily!$B:$B,B180,Daily!$A:$A,E180)+N(J180))</f>
        <v/>
      </c>
      <c r="M180" s="3">
        <f>IF(K180="","",K180*SUMIFS(Daily!$G:$G,Daily!$B:$B,B180,Daily!$A:$A,E180))</f>
        <v/>
      </c>
      <c r="N180" s="3">
        <f>IF(K180="","",K180*SUMIFS(Daily!$H:$H,Daily!$B:$B,B180,Daily!$A:$A,E180))</f>
        <v/>
      </c>
      <c r="O180" s="3">
        <f>IF(OR(M180="",F180=0),"",M180/F180*10000)</f>
        <v/>
      </c>
      <c r="P180" s="8" t="n"/>
      <c r="Q180" s="8" t="n"/>
      <c r="R180" s="6">
        <f>IF(OR(F180="",F180=0),"",N(I180)/F180)</f>
        <v/>
      </c>
      <c r="S180" s="3">
        <f>IF(OR(F180="",F180=0),"",(N(H180)+N(Q180))/F180*1000)</f>
        <v/>
      </c>
    </row>
    <row r="181">
      <c r="A181" s="8" t="n"/>
      <c r="B181" s="8" t="n"/>
      <c r="C181" s="8" t="n"/>
      <c r="D181" s="8" t="n"/>
      <c r="E181" s="9" t="n"/>
      <c r="F181" s="8" t="n"/>
      <c r="G181" s="8" t="n"/>
      <c r="H181" s="8" t="n"/>
      <c r="I181" s="8" t="n"/>
      <c r="J181" s="8" t="n"/>
      <c r="K181" s="10">
        <f>IF(OR(F181="",SUMIFS($F:$F,$B:$B,B181,$E:$E,E181)=0),"",IF(SUMIFS($I:$I,$B:$B,B181,$E:$E,E181)&gt;0,N(I181)/SUMIFS($I:$I,$B:$B,B181,$E:$E,E181),F181/SUMIFS($F:$F,$B:$B,B181,$E:$E,E181)))</f>
        <v/>
      </c>
      <c r="L181" s="3">
        <f>IF(K181="","",K181*SUMIFS(Daily!$D:$D,Daily!$B:$B,B181,Daily!$A:$A,E181)+N(J181))</f>
        <v/>
      </c>
      <c r="M181" s="3">
        <f>IF(K181="","",K181*SUMIFS(Daily!$G:$G,Daily!$B:$B,B181,Daily!$A:$A,E181))</f>
        <v/>
      </c>
      <c r="N181" s="3">
        <f>IF(K181="","",K181*SUMIFS(Daily!$H:$H,Daily!$B:$B,B181,Daily!$A:$A,E181))</f>
        <v/>
      </c>
      <c r="O181" s="3">
        <f>IF(OR(M181="",F181=0),"",M181/F181*10000)</f>
        <v/>
      </c>
      <c r="P181" s="8" t="n"/>
      <c r="Q181" s="8" t="n"/>
      <c r="R181" s="6">
        <f>IF(OR(F181="",F181=0),"",N(I181)/F181)</f>
        <v/>
      </c>
      <c r="S181" s="3">
        <f>IF(OR(F181="",F181=0),"",(N(H181)+N(Q181))/F181*1000)</f>
        <v/>
      </c>
    </row>
    <row r="182">
      <c r="A182" s="8" t="n"/>
      <c r="B182" s="8" t="n"/>
      <c r="C182" s="8" t="n"/>
      <c r="D182" s="8" t="n"/>
      <c r="E182" s="9" t="n"/>
      <c r="F182" s="8" t="n"/>
      <c r="G182" s="8" t="n"/>
      <c r="H182" s="8" t="n"/>
      <c r="I182" s="8" t="n"/>
      <c r="J182" s="8" t="n"/>
      <c r="K182" s="10">
        <f>IF(OR(F182="",SUMIFS($F:$F,$B:$B,B182,$E:$E,E182)=0),"",IF(SUMIFS($I:$I,$B:$B,B182,$E:$E,E182)&gt;0,N(I182)/SUMIFS($I:$I,$B:$B,B182,$E:$E,E182),F182/SUMIFS($F:$F,$B:$B,B182,$E:$E,E182)))</f>
        <v/>
      </c>
      <c r="L182" s="3">
        <f>IF(K182="","",K182*SUMIFS(Daily!$D:$D,Daily!$B:$B,B182,Daily!$A:$A,E182)+N(J182))</f>
        <v/>
      </c>
      <c r="M182" s="3">
        <f>IF(K182="","",K182*SUMIFS(Daily!$G:$G,Daily!$B:$B,B182,Daily!$A:$A,E182))</f>
        <v/>
      </c>
      <c r="N182" s="3">
        <f>IF(K182="","",K182*SUMIFS(Daily!$H:$H,Daily!$B:$B,B182,Daily!$A:$A,E182))</f>
        <v/>
      </c>
      <c r="O182" s="3">
        <f>IF(OR(M182="",F182=0),"",M182/F182*10000)</f>
        <v/>
      </c>
      <c r="P182" s="8" t="n"/>
      <c r="Q182" s="8" t="n"/>
      <c r="R182" s="6">
        <f>IF(OR(F182="",F182=0),"",N(I182)/F182)</f>
        <v/>
      </c>
      <c r="S182" s="3">
        <f>IF(OR(F182="",F182=0),"",(N(H182)+N(Q182))/F182*1000)</f>
        <v/>
      </c>
    </row>
    <row r="183">
      <c r="A183" s="8" t="n"/>
      <c r="B183" s="8" t="n"/>
      <c r="C183" s="8" t="n"/>
      <c r="D183" s="8" t="n"/>
      <c r="E183" s="9" t="n"/>
      <c r="F183" s="8" t="n"/>
      <c r="G183" s="8" t="n"/>
      <c r="H183" s="8" t="n"/>
      <c r="I183" s="8" t="n"/>
      <c r="J183" s="8" t="n"/>
      <c r="K183" s="10">
        <f>IF(OR(F183="",SUMIFS($F:$F,$B:$B,B183,$E:$E,E183)=0),"",IF(SUMIFS($I:$I,$B:$B,B183,$E:$E,E183)&gt;0,N(I183)/SUMIFS($I:$I,$B:$B,B183,$E:$E,E183),F183/SUMIFS($F:$F,$B:$B,B183,$E:$E,E183)))</f>
        <v/>
      </c>
      <c r="L183" s="3">
        <f>IF(K183="","",K183*SUMIFS(Daily!$D:$D,Daily!$B:$B,B183,Daily!$A:$A,E183)+N(J183))</f>
        <v/>
      </c>
      <c r="M183" s="3">
        <f>IF(K183="","",K183*SUMIFS(Daily!$G:$G,Daily!$B:$B,B183,Daily!$A:$A,E183))</f>
        <v/>
      </c>
      <c r="N183" s="3">
        <f>IF(K183="","",K183*SUMIFS(Daily!$H:$H,Daily!$B:$B,B183,Daily!$A:$A,E183))</f>
        <v/>
      </c>
      <c r="O183" s="3">
        <f>IF(OR(M183="",F183=0),"",M183/F183*10000)</f>
        <v/>
      </c>
      <c r="P183" s="8" t="n"/>
      <c r="Q183" s="8" t="n"/>
      <c r="R183" s="6">
        <f>IF(OR(F183="",F183=0),"",N(I183)/F183)</f>
        <v/>
      </c>
      <c r="S183" s="3">
        <f>IF(OR(F183="",F183=0),"",(N(H183)+N(Q183))/F183*1000)</f>
        <v/>
      </c>
    </row>
    <row r="184">
      <c r="A184" s="8" t="n"/>
      <c r="B184" s="8" t="n"/>
      <c r="C184" s="8" t="n"/>
      <c r="D184" s="8" t="n"/>
      <c r="E184" s="9" t="n"/>
      <c r="F184" s="8" t="n"/>
      <c r="G184" s="8" t="n"/>
      <c r="H184" s="8" t="n"/>
      <c r="I184" s="8" t="n"/>
      <c r="J184" s="8" t="n"/>
      <c r="K184" s="10">
        <f>IF(OR(F184="",SUMIFS($F:$F,$B:$B,B184,$E:$E,E184)=0),"",IF(SUMIFS($I:$I,$B:$B,B184,$E:$E,E184)&gt;0,N(I184)/SUMIFS($I:$I,$B:$B,B184,$E:$E,E184),F184/SUMIFS($F:$F,$B:$B,B184,$E:$E,E184)))</f>
        <v/>
      </c>
      <c r="L184" s="3">
        <f>IF(K184="","",K184*SUMIFS(Daily!$D:$D,Daily!$B:$B,B184,Daily!$A:$A,E184)+N(J184))</f>
        <v/>
      </c>
      <c r="M184" s="3">
        <f>IF(K184="","",K184*SUMIFS(Daily!$G:$G,Daily!$B:$B,B184,Daily!$A:$A,E184))</f>
        <v/>
      </c>
      <c r="N184" s="3">
        <f>IF(K184="","",K184*SUMIFS(Daily!$H:$H,Daily!$B:$B,B184,Daily!$A:$A,E184))</f>
        <v/>
      </c>
      <c r="O184" s="3">
        <f>IF(OR(M184="",F184=0),"",M184/F184*10000)</f>
        <v/>
      </c>
      <c r="P184" s="8" t="n"/>
      <c r="Q184" s="8" t="n"/>
      <c r="R184" s="6">
        <f>IF(OR(F184="",F184=0),"",N(I184)/F184)</f>
        <v/>
      </c>
      <c r="S184" s="3">
        <f>IF(OR(F184="",F184=0),"",(N(H184)+N(Q184))/F184*1000)</f>
        <v/>
      </c>
    </row>
    <row r="185">
      <c r="A185" s="8" t="n"/>
      <c r="B185" s="8" t="n"/>
      <c r="C185" s="8" t="n"/>
      <c r="D185" s="8" t="n"/>
      <c r="E185" s="9" t="n"/>
      <c r="F185" s="8" t="n"/>
      <c r="G185" s="8" t="n"/>
      <c r="H185" s="8" t="n"/>
      <c r="I185" s="8" t="n"/>
      <c r="J185" s="8" t="n"/>
      <c r="K185" s="10">
        <f>IF(OR(F185="",SUMIFS($F:$F,$B:$B,B185,$E:$E,E185)=0),"",IF(SUMIFS($I:$I,$B:$B,B185,$E:$E,E185)&gt;0,N(I185)/SUMIFS($I:$I,$B:$B,B185,$E:$E,E185),F185/SUMIFS($F:$F,$B:$B,B185,$E:$E,E185)))</f>
        <v/>
      </c>
      <c r="L185" s="3">
        <f>IF(K185="","",K185*SUMIFS(Daily!$D:$D,Daily!$B:$B,B185,Daily!$A:$A,E185)+N(J185))</f>
        <v/>
      </c>
      <c r="M185" s="3">
        <f>IF(K185="","",K185*SUMIFS(Daily!$G:$G,Daily!$B:$B,B185,Daily!$A:$A,E185))</f>
        <v/>
      </c>
      <c r="N185" s="3">
        <f>IF(K185="","",K185*SUMIFS(Daily!$H:$H,Daily!$B:$B,B185,Daily!$A:$A,E185))</f>
        <v/>
      </c>
      <c r="O185" s="3">
        <f>IF(OR(M185="",F185=0),"",M185/F185*10000)</f>
        <v/>
      </c>
      <c r="P185" s="8" t="n"/>
      <c r="Q185" s="8" t="n"/>
      <c r="R185" s="6">
        <f>IF(OR(F185="",F185=0),"",N(I185)/F185)</f>
        <v/>
      </c>
      <c r="S185" s="3">
        <f>IF(OR(F185="",F185=0),"",(N(H185)+N(Q185))/F185*1000)</f>
        <v/>
      </c>
    </row>
    <row r="186">
      <c r="A186" s="8" t="n"/>
      <c r="B186" s="8" t="n"/>
      <c r="C186" s="8" t="n"/>
      <c r="D186" s="8" t="n"/>
      <c r="E186" s="9" t="n"/>
      <c r="F186" s="8" t="n"/>
      <c r="G186" s="8" t="n"/>
      <c r="H186" s="8" t="n"/>
      <c r="I186" s="8" t="n"/>
      <c r="J186" s="8" t="n"/>
      <c r="K186" s="10">
        <f>IF(OR(F186="",SUMIFS($F:$F,$B:$B,B186,$E:$E,E186)=0),"",IF(SUMIFS($I:$I,$B:$B,B186,$E:$E,E186)&gt;0,N(I186)/SUMIFS($I:$I,$B:$B,B186,$E:$E,E186),F186/SUMIFS($F:$F,$B:$B,B186,$E:$E,E186)))</f>
        <v/>
      </c>
      <c r="L186" s="3">
        <f>IF(K186="","",K186*SUMIFS(Daily!$D:$D,Daily!$B:$B,B186,Daily!$A:$A,E186)+N(J186))</f>
        <v/>
      </c>
      <c r="M186" s="3">
        <f>IF(K186="","",K186*SUMIFS(Daily!$G:$G,Daily!$B:$B,B186,Daily!$A:$A,E186))</f>
        <v/>
      </c>
      <c r="N186" s="3">
        <f>IF(K186="","",K186*SUMIFS(Daily!$H:$H,Daily!$B:$B,B186,Daily!$A:$A,E186))</f>
        <v/>
      </c>
      <c r="O186" s="3">
        <f>IF(OR(M186="",F186=0),"",M186/F186*10000)</f>
        <v/>
      </c>
      <c r="P186" s="8" t="n"/>
      <c r="Q186" s="8" t="n"/>
      <c r="R186" s="6">
        <f>IF(OR(F186="",F186=0),"",N(I186)/F186)</f>
        <v/>
      </c>
      <c r="S186" s="3">
        <f>IF(OR(F186="",F186=0),"",(N(H186)+N(Q186))/F186*1000)</f>
        <v/>
      </c>
    </row>
    <row r="187">
      <c r="A187" s="8" t="n"/>
      <c r="B187" s="8" t="n"/>
      <c r="C187" s="8" t="n"/>
      <c r="D187" s="8" t="n"/>
      <c r="E187" s="9" t="n"/>
      <c r="F187" s="8" t="n"/>
      <c r="G187" s="8" t="n"/>
      <c r="H187" s="8" t="n"/>
      <c r="I187" s="8" t="n"/>
      <c r="J187" s="8" t="n"/>
      <c r="K187" s="10">
        <f>IF(OR(F187="",SUMIFS($F:$F,$B:$B,B187,$E:$E,E187)=0),"",IF(SUMIFS($I:$I,$B:$B,B187,$E:$E,E187)&gt;0,N(I187)/SUMIFS($I:$I,$B:$B,B187,$E:$E,E187),F187/SUMIFS($F:$F,$B:$B,B187,$E:$E,E187)))</f>
        <v/>
      </c>
      <c r="L187" s="3">
        <f>IF(K187="","",K187*SUMIFS(Daily!$D:$D,Daily!$B:$B,B187,Daily!$A:$A,E187)+N(J187))</f>
        <v/>
      </c>
      <c r="M187" s="3">
        <f>IF(K187="","",K187*SUMIFS(Daily!$G:$G,Daily!$B:$B,B187,Daily!$A:$A,E187))</f>
        <v/>
      </c>
      <c r="N187" s="3">
        <f>IF(K187="","",K187*SUMIFS(Daily!$H:$H,Daily!$B:$B,B187,Daily!$A:$A,E187))</f>
        <v/>
      </c>
      <c r="O187" s="3">
        <f>IF(OR(M187="",F187=0),"",M187/F187*10000)</f>
        <v/>
      </c>
      <c r="P187" s="8" t="n"/>
      <c r="Q187" s="8" t="n"/>
      <c r="R187" s="6">
        <f>IF(OR(F187="",F187=0),"",N(I187)/F187)</f>
        <v/>
      </c>
      <c r="S187" s="3">
        <f>IF(OR(F187="",F187=0),"",(N(H187)+N(Q187))/F187*1000)</f>
        <v/>
      </c>
    </row>
    <row r="188">
      <c r="A188" s="8" t="n"/>
      <c r="B188" s="8" t="n"/>
      <c r="C188" s="8" t="n"/>
      <c r="D188" s="8" t="n"/>
      <c r="E188" s="9" t="n"/>
      <c r="F188" s="8" t="n"/>
      <c r="G188" s="8" t="n"/>
      <c r="H188" s="8" t="n"/>
      <c r="I188" s="8" t="n"/>
      <c r="J188" s="8" t="n"/>
      <c r="K188" s="10">
        <f>IF(OR(F188="",SUMIFS($F:$F,$B:$B,B188,$E:$E,E188)=0),"",IF(SUMIFS($I:$I,$B:$B,B188,$E:$E,E188)&gt;0,N(I188)/SUMIFS($I:$I,$B:$B,B188,$E:$E,E188),F188/SUMIFS($F:$F,$B:$B,B188,$E:$E,E188)))</f>
        <v/>
      </c>
      <c r="L188" s="3">
        <f>IF(K188="","",K188*SUMIFS(Daily!$D:$D,Daily!$B:$B,B188,Daily!$A:$A,E188)+N(J188))</f>
        <v/>
      </c>
      <c r="M188" s="3">
        <f>IF(K188="","",K188*SUMIFS(Daily!$G:$G,Daily!$B:$B,B188,Daily!$A:$A,E188))</f>
        <v/>
      </c>
      <c r="N188" s="3">
        <f>IF(K188="","",K188*SUMIFS(Daily!$H:$H,Daily!$B:$B,B188,Daily!$A:$A,E188))</f>
        <v/>
      </c>
      <c r="O188" s="3">
        <f>IF(OR(M188="",F188=0),"",M188/F188*10000)</f>
        <v/>
      </c>
      <c r="P188" s="8" t="n"/>
      <c r="Q188" s="8" t="n"/>
      <c r="R188" s="6">
        <f>IF(OR(F188="",F188=0),"",N(I188)/F188)</f>
        <v/>
      </c>
      <c r="S188" s="3">
        <f>IF(OR(F188="",F188=0),"",(N(H188)+N(Q188))/F188*1000)</f>
        <v/>
      </c>
    </row>
    <row r="189">
      <c r="A189" s="8" t="n"/>
      <c r="B189" s="8" t="n"/>
      <c r="C189" s="8" t="n"/>
      <c r="D189" s="8" t="n"/>
      <c r="E189" s="9" t="n"/>
      <c r="F189" s="8" t="n"/>
      <c r="G189" s="8" t="n"/>
      <c r="H189" s="8" t="n"/>
      <c r="I189" s="8" t="n"/>
      <c r="J189" s="8" t="n"/>
      <c r="K189" s="10">
        <f>IF(OR(F189="",SUMIFS($F:$F,$B:$B,B189,$E:$E,E189)=0),"",IF(SUMIFS($I:$I,$B:$B,B189,$E:$E,E189)&gt;0,N(I189)/SUMIFS($I:$I,$B:$B,B189,$E:$E,E189),F189/SUMIFS($F:$F,$B:$B,B189,$E:$E,E189)))</f>
        <v/>
      </c>
      <c r="L189" s="3">
        <f>IF(K189="","",K189*SUMIFS(Daily!$D:$D,Daily!$B:$B,B189,Daily!$A:$A,E189)+N(J189))</f>
        <v/>
      </c>
      <c r="M189" s="3">
        <f>IF(K189="","",K189*SUMIFS(Daily!$G:$G,Daily!$B:$B,B189,Daily!$A:$A,E189))</f>
        <v/>
      </c>
      <c r="N189" s="3">
        <f>IF(K189="","",K189*SUMIFS(Daily!$H:$H,Daily!$B:$B,B189,Daily!$A:$A,E189))</f>
        <v/>
      </c>
      <c r="O189" s="3">
        <f>IF(OR(M189="",F189=0),"",M189/F189*10000)</f>
        <v/>
      </c>
      <c r="P189" s="8" t="n"/>
      <c r="Q189" s="8" t="n"/>
      <c r="R189" s="6">
        <f>IF(OR(F189="",F189=0),"",N(I189)/F189)</f>
        <v/>
      </c>
      <c r="S189" s="3">
        <f>IF(OR(F189="",F189=0),"",(N(H189)+N(Q189))/F189*1000)</f>
        <v/>
      </c>
    </row>
    <row r="190">
      <c r="A190" s="8" t="n"/>
      <c r="B190" s="8" t="n"/>
      <c r="C190" s="8" t="n"/>
      <c r="D190" s="8" t="n"/>
      <c r="E190" s="9" t="n"/>
      <c r="F190" s="8" t="n"/>
      <c r="G190" s="8" t="n"/>
      <c r="H190" s="8" t="n"/>
      <c r="I190" s="8" t="n"/>
      <c r="J190" s="8" t="n"/>
      <c r="K190" s="10">
        <f>IF(OR(F190="",SUMIFS($F:$F,$B:$B,B190,$E:$E,E190)=0),"",IF(SUMIFS($I:$I,$B:$B,B190,$E:$E,E190)&gt;0,N(I190)/SUMIFS($I:$I,$B:$B,B190,$E:$E,E190),F190/SUMIFS($F:$F,$B:$B,B190,$E:$E,E190)))</f>
        <v/>
      </c>
      <c r="L190" s="3">
        <f>IF(K190="","",K190*SUMIFS(Daily!$D:$D,Daily!$B:$B,B190,Daily!$A:$A,E190)+N(J190))</f>
        <v/>
      </c>
      <c r="M190" s="3">
        <f>IF(K190="","",K190*SUMIFS(Daily!$G:$G,Daily!$B:$B,B190,Daily!$A:$A,E190))</f>
        <v/>
      </c>
      <c r="N190" s="3">
        <f>IF(K190="","",K190*SUMIFS(Daily!$H:$H,Daily!$B:$B,B190,Daily!$A:$A,E190))</f>
        <v/>
      </c>
      <c r="O190" s="3">
        <f>IF(OR(M190="",F190=0),"",M190/F190*10000)</f>
        <v/>
      </c>
      <c r="P190" s="8" t="n"/>
      <c r="Q190" s="8" t="n"/>
      <c r="R190" s="6">
        <f>IF(OR(F190="",F190=0),"",N(I190)/F190)</f>
        <v/>
      </c>
      <c r="S190" s="3">
        <f>IF(OR(F190="",F190=0),"",(N(H190)+N(Q190))/F190*1000)</f>
        <v/>
      </c>
    </row>
    <row r="191">
      <c r="A191" s="8" t="n"/>
      <c r="B191" s="8" t="n"/>
      <c r="C191" s="8" t="n"/>
      <c r="D191" s="8" t="n"/>
      <c r="E191" s="9" t="n"/>
      <c r="F191" s="8" t="n"/>
      <c r="G191" s="8" t="n"/>
      <c r="H191" s="8" t="n"/>
      <c r="I191" s="8" t="n"/>
      <c r="J191" s="8" t="n"/>
      <c r="K191" s="10">
        <f>IF(OR(F191="",SUMIFS($F:$F,$B:$B,B191,$E:$E,E191)=0),"",IF(SUMIFS($I:$I,$B:$B,B191,$E:$E,E191)&gt;0,N(I191)/SUMIFS($I:$I,$B:$B,B191,$E:$E,E191),F191/SUMIFS($F:$F,$B:$B,B191,$E:$E,E191)))</f>
        <v/>
      </c>
      <c r="L191" s="3">
        <f>IF(K191="","",K191*SUMIFS(Daily!$D:$D,Daily!$B:$B,B191,Daily!$A:$A,E191)+N(J191))</f>
        <v/>
      </c>
      <c r="M191" s="3">
        <f>IF(K191="","",K191*SUMIFS(Daily!$G:$G,Daily!$B:$B,B191,Daily!$A:$A,E191))</f>
        <v/>
      </c>
      <c r="N191" s="3">
        <f>IF(K191="","",K191*SUMIFS(Daily!$H:$H,Daily!$B:$B,B191,Daily!$A:$A,E191))</f>
        <v/>
      </c>
      <c r="O191" s="3">
        <f>IF(OR(M191="",F191=0),"",M191/F191*10000)</f>
        <v/>
      </c>
      <c r="P191" s="8" t="n"/>
      <c r="Q191" s="8" t="n"/>
      <c r="R191" s="6">
        <f>IF(OR(F191="",F191=0),"",N(I191)/F191)</f>
        <v/>
      </c>
      <c r="S191" s="3">
        <f>IF(OR(F191="",F191=0),"",(N(H191)+N(Q191))/F191*1000)</f>
        <v/>
      </c>
    </row>
    <row r="192">
      <c r="A192" s="8" t="n"/>
      <c r="B192" s="8" t="n"/>
      <c r="C192" s="8" t="n"/>
      <c r="D192" s="8" t="n"/>
      <c r="E192" s="9" t="n"/>
      <c r="F192" s="8" t="n"/>
      <c r="G192" s="8" t="n"/>
      <c r="H192" s="8" t="n"/>
      <c r="I192" s="8" t="n"/>
      <c r="J192" s="8" t="n"/>
      <c r="K192" s="10">
        <f>IF(OR(F192="",SUMIFS($F:$F,$B:$B,B192,$E:$E,E192)=0),"",IF(SUMIFS($I:$I,$B:$B,B192,$E:$E,E192)&gt;0,N(I192)/SUMIFS($I:$I,$B:$B,B192,$E:$E,E192),F192/SUMIFS($F:$F,$B:$B,B192,$E:$E,E192)))</f>
        <v/>
      </c>
      <c r="L192" s="3">
        <f>IF(K192="","",K192*SUMIFS(Daily!$D:$D,Daily!$B:$B,B192,Daily!$A:$A,E192)+N(J192))</f>
        <v/>
      </c>
      <c r="M192" s="3">
        <f>IF(K192="","",K192*SUMIFS(Daily!$G:$G,Daily!$B:$B,B192,Daily!$A:$A,E192))</f>
        <v/>
      </c>
      <c r="N192" s="3">
        <f>IF(K192="","",K192*SUMIFS(Daily!$H:$H,Daily!$B:$B,B192,Daily!$A:$A,E192))</f>
        <v/>
      </c>
      <c r="O192" s="3">
        <f>IF(OR(M192="",F192=0),"",M192/F192*10000)</f>
        <v/>
      </c>
      <c r="P192" s="8" t="n"/>
      <c r="Q192" s="8" t="n"/>
      <c r="R192" s="6">
        <f>IF(OR(F192="",F192=0),"",N(I192)/F192)</f>
        <v/>
      </c>
      <c r="S192" s="3">
        <f>IF(OR(F192="",F192=0),"",(N(H192)+N(Q192))/F192*1000)</f>
        <v/>
      </c>
    </row>
    <row r="193">
      <c r="A193" s="8" t="n"/>
      <c r="B193" s="8" t="n"/>
      <c r="C193" s="8" t="n"/>
      <c r="D193" s="8" t="n"/>
      <c r="E193" s="9" t="n"/>
      <c r="F193" s="8" t="n"/>
      <c r="G193" s="8" t="n"/>
      <c r="H193" s="8" t="n"/>
      <c r="I193" s="8" t="n"/>
      <c r="J193" s="8" t="n"/>
      <c r="K193" s="10">
        <f>IF(OR(F193="",SUMIFS($F:$F,$B:$B,B193,$E:$E,E193)=0),"",IF(SUMIFS($I:$I,$B:$B,B193,$E:$E,E193)&gt;0,N(I193)/SUMIFS($I:$I,$B:$B,B193,$E:$E,E193),F193/SUMIFS($F:$F,$B:$B,B193,$E:$E,E193)))</f>
        <v/>
      </c>
      <c r="L193" s="3">
        <f>IF(K193="","",K193*SUMIFS(Daily!$D:$D,Daily!$B:$B,B193,Daily!$A:$A,E193)+N(J193))</f>
        <v/>
      </c>
      <c r="M193" s="3">
        <f>IF(K193="","",K193*SUMIFS(Daily!$G:$G,Daily!$B:$B,B193,Daily!$A:$A,E193))</f>
        <v/>
      </c>
      <c r="N193" s="3">
        <f>IF(K193="","",K193*SUMIFS(Daily!$H:$H,Daily!$B:$B,B193,Daily!$A:$A,E193))</f>
        <v/>
      </c>
      <c r="O193" s="3">
        <f>IF(OR(M193="",F193=0),"",M193/F193*10000)</f>
        <v/>
      </c>
      <c r="P193" s="8" t="n"/>
      <c r="Q193" s="8" t="n"/>
      <c r="R193" s="6">
        <f>IF(OR(F193="",F193=0),"",N(I193)/F193)</f>
        <v/>
      </c>
      <c r="S193" s="3">
        <f>IF(OR(F193="",F193=0),"",(N(H193)+N(Q193))/F193*1000)</f>
        <v/>
      </c>
    </row>
    <row r="194">
      <c r="A194" s="8" t="n"/>
      <c r="B194" s="8" t="n"/>
      <c r="C194" s="8" t="n"/>
      <c r="D194" s="8" t="n"/>
      <c r="E194" s="9" t="n"/>
      <c r="F194" s="8" t="n"/>
      <c r="G194" s="8" t="n"/>
      <c r="H194" s="8" t="n"/>
      <c r="I194" s="8" t="n"/>
      <c r="J194" s="8" t="n"/>
      <c r="K194" s="10">
        <f>IF(OR(F194="",SUMIFS($F:$F,$B:$B,B194,$E:$E,E194)=0),"",IF(SUMIFS($I:$I,$B:$B,B194,$E:$E,E194)&gt;0,N(I194)/SUMIFS($I:$I,$B:$B,B194,$E:$E,E194),F194/SUMIFS($F:$F,$B:$B,B194,$E:$E,E194)))</f>
        <v/>
      </c>
      <c r="L194" s="3">
        <f>IF(K194="","",K194*SUMIFS(Daily!$D:$D,Daily!$B:$B,B194,Daily!$A:$A,E194)+N(J194))</f>
        <v/>
      </c>
      <c r="M194" s="3">
        <f>IF(K194="","",K194*SUMIFS(Daily!$G:$G,Daily!$B:$B,B194,Daily!$A:$A,E194))</f>
        <v/>
      </c>
      <c r="N194" s="3">
        <f>IF(K194="","",K194*SUMIFS(Daily!$H:$H,Daily!$B:$B,B194,Daily!$A:$A,E194))</f>
        <v/>
      </c>
      <c r="O194" s="3">
        <f>IF(OR(M194="",F194=0),"",M194/F194*10000)</f>
        <v/>
      </c>
      <c r="P194" s="8" t="n"/>
      <c r="Q194" s="8" t="n"/>
      <c r="R194" s="6">
        <f>IF(OR(F194="",F194=0),"",N(I194)/F194)</f>
        <v/>
      </c>
      <c r="S194" s="3">
        <f>IF(OR(F194="",F194=0),"",(N(H194)+N(Q194))/F194*1000)</f>
        <v/>
      </c>
    </row>
    <row r="195">
      <c r="A195" s="8" t="n"/>
      <c r="B195" s="8" t="n"/>
      <c r="C195" s="8" t="n"/>
      <c r="D195" s="8" t="n"/>
      <c r="E195" s="9" t="n"/>
      <c r="F195" s="8" t="n"/>
      <c r="G195" s="8" t="n"/>
      <c r="H195" s="8" t="n"/>
      <c r="I195" s="8" t="n"/>
      <c r="J195" s="8" t="n"/>
      <c r="K195" s="10">
        <f>IF(OR(F195="",SUMIFS($F:$F,$B:$B,B195,$E:$E,E195)=0),"",IF(SUMIFS($I:$I,$B:$B,B195,$E:$E,E195)&gt;0,N(I195)/SUMIFS($I:$I,$B:$B,B195,$E:$E,E195),F195/SUMIFS($F:$F,$B:$B,B195,$E:$E,E195)))</f>
        <v/>
      </c>
      <c r="L195" s="3">
        <f>IF(K195="","",K195*SUMIFS(Daily!$D:$D,Daily!$B:$B,B195,Daily!$A:$A,E195)+N(J195))</f>
        <v/>
      </c>
      <c r="M195" s="3">
        <f>IF(K195="","",K195*SUMIFS(Daily!$G:$G,Daily!$B:$B,B195,Daily!$A:$A,E195))</f>
        <v/>
      </c>
      <c r="N195" s="3">
        <f>IF(K195="","",K195*SUMIFS(Daily!$H:$H,Daily!$B:$B,B195,Daily!$A:$A,E195))</f>
        <v/>
      </c>
      <c r="O195" s="3">
        <f>IF(OR(M195="",F195=0),"",M195/F195*10000)</f>
        <v/>
      </c>
      <c r="P195" s="8" t="n"/>
      <c r="Q195" s="8" t="n"/>
      <c r="R195" s="6">
        <f>IF(OR(F195="",F195=0),"",N(I195)/F195)</f>
        <v/>
      </c>
      <c r="S195" s="3">
        <f>IF(OR(F195="",F195=0),"",(N(H195)+N(Q195))/F195*1000)</f>
        <v/>
      </c>
    </row>
    <row r="196">
      <c r="A196" s="8" t="n"/>
      <c r="B196" s="8" t="n"/>
      <c r="C196" s="8" t="n"/>
      <c r="D196" s="8" t="n"/>
      <c r="E196" s="9" t="n"/>
      <c r="F196" s="8" t="n"/>
      <c r="G196" s="8" t="n"/>
      <c r="H196" s="8" t="n"/>
      <c r="I196" s="8" t="n"/>
      <c r="J196" s="8" t="n"/>
      <c r="K196" s="10">
        <f>IF(OR(F196="",SUMIFS($F:$F,$B:$B,B196,$E:$E,E196)=0),"",IF(SUMIFS($I:$I,$B:$B,B196,$E:$E,E196)&gt;0,N(I196)/SUMIFS($I:$I,$B:$B,B196,$E:$E,E196),F196/SUMIFS($F:$F,$B:$B,B196,$E:$E,E196)))</f>
        <v/>
      </c>
      <c r="L196" s="3">
        <f>IF(K196="","",K196*SUMIFS(Daily!$D:$D,Daily!$B:$B,B196,Daily!$A:$A,E196)+N(J196))</f>
        <v/>
      </c>
      <c r="M196" s="3">
        <f>IF(K196="","",K196*SUMIFS(Daily!$G:$G,Daily!$B:$B,B196,Daily!$A:$A,E196))</f>
        <v/>
      </c>
      <c r="N196" s="3">
        <f>IF(K196="","",K196*SUMIFS(Daily!$H:$H,Daily!$B:$B,B196,Daily!$A:$A,E196))</f>
        <v/>
      </c>
      <c r="O196" s="3">
        <f>IF(OR(M196="",F196=0),"",M196/F196*10000)</f>
        <v/>
      </c>
      <c r="P196" s="8" t="n"/>
      <c r="Q196" s="8" t="n"/>
      <c r="R196" s="6">
        <f>IF(OR(F196="",F196=0),"",N(I196)/F196)</f>
        <v/>
      </c>
      <c r="S196" s="3">
        <f>IF(OR(F196="",F196=0),"",(N(H196)+N(Q196))/F196*1000)</f>
        <v/>
      </c>
    </row>
    <row r="197">
      <c r="A197" s="8" t="n"/>
      <c r="B197" s="8" t="n"/>
      <c r="C197" s="8" t="n"/>
      <c r="D197" s="8" t="n"/>
      <c r="E197" s="9" t="n"/>
      <c r="F197" s="8" t="n"/>
      <c r="G197" s="8" t="n"/>
      <c r="H197" s="8" t="n"/>
      <c r="I197" s="8" t="n"/>
      <c r="J197" s="8" t="n"/>
      <c r="K197" s="10">
        <f>IF(OR(F197="",SUMIFS($F:$F,$B:$B,B197,$E:$E,E197)=0),"",IF(SUMIFS($I:$I,$B:$B,B197,$E:$E,E197)&gt;0,N(I197)/SUMIFS($I:$I,$B:$B,B197,$E:$E,E197),F197/SUMIFS($F:$F,$B:$B,B197,$E:$E,E197)))</f>
        <v/>
      </c>
      <c r="L197" s="3">
        <f>IF(K197="","",K197*SUMIFS(Daily!$D:$D,Daily!$B:$B,B197,Daily!$A:$A,E197)+N(J197))</f>
        <v/>
      </c>
      <c r="M197" s="3">
        <f>IF(K197="","",K197*SUMIFS(Daily!$G:$G,Daily!$B:$B,B197,Daily!$A:$A,E197))</f>
        <v/>
      </c>
      <c r="N197" s="3">
        <f>IF(K197="","",K197*SUMIFS(Daily!$H:$H,Daily!$B:$B,B197,Daily!$A:$A,E197))</f>
        <v/>
      </c>
      <c r="O197" s="3">
        <f>IF(OR(M197="",F197=0),"",M197/F197*10000)</f>
        <v/>
      </c>
      <c r="P197" s="8" t="n"/>
      <c r="Q197" s="8" t="n"/>
      <c r="R197" s="6">
        <f>IF(OR(F197="",F197=0),"",N(I197)/F197)</f>
        <v/>
      </c>
      <c r="S197" s="3">
        <f>IF(OR(F197="",F197=0),"",(N(H197)+N(Q197))/F197*1000)</f>
        <v/>
      </c>
    </row>
    <row r="198">
      <c r="A198" s="8" t="n"/>
      <c r="B198" s="8" t="n"/>
      <c r="C198" s="8" t="n"/>
      <c r="D198" s="8" t="n"/>
      <c r="E198" s="9" t="n"/>
      <c r="F198" s="8" t="n"/>
      <c r="G198" s="8" t="n"/>
      <c r="H198" s="8" t="n"/>
      <c r="I198" s="8" t="n"/>
      <c r="J198" s="8" t="n"/>
      <c r="K198" s="10">
        <f>IF(OR(F198="",SUMIFS($F:$F,$B:$B,B198,$E:$E,E198)=0),"",IF(SUMIFS($I:$I,$B:$B,B198,$E:$E,E198)&gt;0,N(I198)/SUMIFS($I:$I,$B:$B,B198,$E:$E,E198),F198/SUMIFS($F:$F,$B:$B,B198,$E:$E,E198)))</f>
        <v/>
      </c>
      <c r="L198" s="3">
        <f>IF(K198="","",K198*SUMIFS(Daily!$D:$D,Daily!$B:$B,B198,Daily!$A:$A,E198)+N(J198))</f>
        <v/>
      </c>
      <c r="M198" s="3">
        <f>IF(K198="","",K198*SUMIFS(Daily!$G:$G,Daily!$B:$B,B198,Daily!$A:$A,E198))</f>
        <v/>
      </c>
      <c r="N198" s="3">
        <f>IF(K198="","",K198*SUMIFS(Daily!$H:$H,Daily!$B:$B,B198,Daily!$A:$A,E198))</f>
        <v/>
      </c>
      <c r="O198" s="3">
        <f>IF(OR(M198="",F198=0),"",M198/F198*10000)</f>
        <v/>
      </c>
      <c r="P198" s="8" t="n"/>
      <c r="Q198" s="8" t="n"/>
      <c r="R198" s="6">
        <f>IF(OR(F198="",F198=0),"",N(I198)/F198)</f>
        <v/>
      </c>
      <c r="S198" s="3">
        <f>IF(OR(F198="",F198=0),"",(N(H198)+N(Q198))/F198*1000)</f>
        <v/>
      </c>
    </row>
    <row r="199">
      <c r="A199" s="8" t="n"/>
      <c r="B199" s="8" t="n"/>
      <c r="C199" s="8" t="n"/>
      <c r="D199" s="8" t="n"/>
      <c r="E199" s="9" t="n"/>
      <c r="F199" s="8" t="n"/>
      <c r="G199" s="8" t="n"/>
      <c r="H199" s="8" t="n"/>
      <c r="I199" s="8" t="n"/>
      <c r="J199" s="8" t="n"/>
      <c r="K199" s="10">
        <f>IF(OR(F199="",SUMIFS($F:$F,$B:$B,B199,$E:$E,E199)=0),"",IF(SUMIFS($I:$I,$B:$B,B199,$E:$E,E199)&gt;0,N(I199)/SUMIFS($I:$I,$B:$B,B199,$E:$E,E199),F199/SUMIFS($F:$F,$B:$B,B199,$E:$E,E199)))</f>
        <v/>
      </c>
      <c r="L199" s="3">
        <f>IF(K199="","",K199*SUMIFS(Daily!$D:$D,Daily!$B:$B,B199,Daily!$A:$A,E199)+N(J199))</f>
        <v/>
      </c>
      <c r="M199" s="3">
        <f>IF(K199="","",K199*SUMIFS(Daily!$G:$G,Daily!$B:$B,B199,Daily!$A:$A,E199))</f>
        <v/>
      </c>
      <c r="N199" s="3">
        <f>IF(K199="","",K199*SUMIFS(Daily!$H:$H,Daily!$B:$B,B199,Daily!$A:$A,E199))</f>
        <v/>
      </c>
      <c r="O199" s="3">
        <f>IF(OR(M199="",F199=0),"",M199/F199*10000)</f>
        <v/>
      </c>
      <c r="P199" s="8" t="n"/>
      <c r="Q199" s="8" t="n"/>
      <c r="R199" s="6">
        <f>IF(OR(F199="",F199=0),"",N(I199)/F199)</f>
        <v/>
      </c>
      <c r="S199" s="3">
        <f>IF(OR(F199="",F199=0),"",(N(H199)+N(Q199))/F199*1000)</f>
        <v/>
      </c>
    </row>
    <row r="200">
      <c r="A200" s="8" t="n"/>
      <c r="B200" s="8" t="n"/>
      <c r="C200" s="8" t="n"/>
      <c r="D200" s="8" t="n"/>
      <c r="E200" s="9" t="n"/>
      <c r="F200" s="8" t="n"/>
      <c r="G200" s="8" t="n"/>
      <c r="H200" s="8" t="n"/>
      <c r="I200" s="8" t="n"/>
      <c r="J200" s="8" t="n"/>
      <c r="K200" s="10">
        <f>IF(OR(F200="",SUMIFS($F:$F,$B:$B,B200,$E:$E,E200)=0),"",IF(SUMIFS($I:$I,$B:$B,B200,$E:$E,E200)&gt;0,N(I200)/SUMIFS($I:$I,$B:$B,B200,$E:$E,E200),F200/SUMIFS($F:$F,$B:$B,B200,$E:$E,E200)))</f>
        <v/>
      </c>
      <c r="L200" s="3">
        <f>IF(K200="","",K200*SUMIFS(Daily!$D:$D,Daily!$B:$B,B200,Daily!$A:$A,E200)+N(J200))</f>
        <v/>
      </c>
      <c r="M200" s="3">
        <f>IF(K200="","",K200*SUMIFS(Daily!$G:$G,Daily!$B:$B,B200,Daily!$A:$A,E200))</f>
        <v/>
      </c>
      <c r="N200" s="3">
        <f>IF(K200="","",K200*SUMIFS(Daily!$H:$H,Daily!$B:$B,B200,Daily!$A:$A,E200))</f>
        <v/>
      </c>
      <c r="O200" s="3">
        <f>IF(OR(M200="",F200=0),"",M200/F200*10000)</f>
        <v/>
      </c>
      <c r="P200" s="8" t="n"/>
      <c r="Q200" s="8" t="n"/>
      <c r="R200" s="6">
        <f>IF(OR(F200="",F200=0),"",N(I200)/F200)</f>
        <v/>
      </c>
      <c r="S200" s="3">
        <f>IF(OR(F200="",F200=0),"",(N(H200)+N(Q200))/F200*1000)</f>
        <v/>
      </c>
    </row>
    <row r="201">
      <c r="A201" s="8" t="n"/>
      <c r="B201" s="8" t="n"/>
      <c r="C201" s="8" t="n"/>
      <c r="D201" s="8" t="n"/>
      <c r="E201" s="9" t="n"/>
      <c r="F201" s="8" t="n"/>
      <c r="G201" s="8" t="n"/>
      <c r="H201" s="8" t="n"/>
      <c r="I201" s="8" t="n"/>
      <c r="J201" s="8" t="n"/>
      <c r="K201" s="10">
        <f>IF(OR(F201="",SUMIFS($F:$F,$B:$B,B201,$E:$E,E201)=0),"",IF(SUMIFS($I:$I,$B:$B,B201,$E:$E,E201)&gt;0,N(I201)/SUMIFS($I:$I,$B:$B,B201,$E:$E,E201),F201/SUMIFS($F:$F,$B:$B,B201,$E:$E,E201)))</f>
        <v/>
      </c>
      <c r="L201" s="3">
        <f>IF(K201="","",K201*SUMIFS(Daily!$D:$D,Daily!$B:$B,B201,Daily!$A:$A,E201)+N(J201))</f>
        <v/>
      </c>
      <c r="M201" s="3">
        <f>IF(K201="","",K201*SUMIFS(Daily!$G:$G,Daily!$B:$B,B201,Daily!$A:$A,E201))</f>
        <v/>
      </c>
      <c r="N201" s="3">
        <f>IF(K201="","",K201*SUMIFS(Daily!$H:$H,Daily!$B:$B,B201,Daily!$A:$A,E201))</f>
        <v/>
      </c>
      <c r="O201" s="3">
        <f>IF(OR(M201="",F201=0),"",M201/F201*10000)</f>
        <v/>
      </c>
      <c r="P201" s="8" t="n"/>
      <c r="Q201" s="8" t="n"/>
      <c r="R201" s="6">
        <f>IF(OR(F201="",F201=0),"",N(I201)/F201)</f>
        <v/>
      </c>
      <c r="S201" s="3">
        <f>IF(OR(F201="",F201=0),"",(N(H201)+N(Q201))/F201*1000)</f>
        <v/>
      </c>
    </row>
    <row r="202">
      <c r="A202" s="8" t="n"/>
      <c r="B202" s="8" t="n"/>
      <c r="C202" s="8" t="n"/>
      <c r="D202" s="8" t="n"/>
      <c r="E202" s="9" t="n"/>
      <c r="F202" s="8" t="n"/>
      <c r="G202" s="8" t="n"/>
      <c r="H202" s="8" t="n"/>
      <c r="I202" s="8" t="n"/>
      <c r="J202" s="8" t="n"/>
      <c r="K202" s="10">
        <f>IF(OR(F202="",SUMIFS($F:$F,$B:$B,B202,$E:$E,E202)=0),"",IF(SUMIFS($I:$I,$B:$B,B202,$E:$E,E202)&gt;0,N(I202)/SUMIFS($I:$I,$B:$B,B202,$E:$E,E202),F202/SUMIFS($F:$F,$B:$B,B202,$E:$E,E202)))</f>
        <v/>
      </c>
      <c r="L202" s="3">
        <f>IF(K202="","",K202*SUMIFS(Daily!$D:$D,Daily!$B:$B,B202,Daily!$A:$A,E202)+N(J202))</f>
        <v/>
      </c>
      <c r="M202" s="3">
        <f>IF(K202="","",K202*SUMIFS(Daily!$G:$G,Daily!$B:$B,B202,Daily!$A:$A,E202))</f>
        <v/>
      </c>
      <c r="N202" s="3">
        <f>IF(K202="","",K202*SUMIFS(Daily!$H:$H,Daily!$B:$B,B202,Daily!$A:$A,E202))</f>
        <v/>
      </c>
      <c r="O202" s="3">
        <f>IF(OR(M202="",F202=0),"",M202/F202*10000)</f>
        <v/>
      </c>
      <c r="P202" s="8" t="n"/>
      <c r="Q202" s="8" t="n"/>
      <c r="R202" s="6">
        <f>IF(OR(F202="",F202=0),"",N(I202)/F202)</f>
        <v/>
      </c>
      <c r="S202" s="3">
        <f>IF(OR(F202="",F202=0),"",(N(H202)+N(Q202))/F202*1000)</f>
        <v/>
      </c>
    </row>
    <row r="203">
      <c r="A203" s="8" t="n"/>
      <c r="B203" s="8" t="n"/>
      <c r="C203" s="8" t="n"/>
      <c r="D203" s="8" t="n"/>
      <c r="E203" s="9" t="n"/>
      <c r="F203" s="8" t="n"/>
      <c r="G203" s="8" t="n"/>
      <c r="H203" s="8" t="n"/>
      <c r="I203" s="8" t="n"/>
      <c r="J203" s="8" t="n"/>
      <c r="K203" s="10">
        <f>IF(OR(F203="",SUMIFS($F:$F,$B:$B,B203,$E:$E,E203)=0),"",IF(SUMIFS($I:$I,$B:$B,B203,$E:$E,E203)&gt;0,N(I203)/SUMIFS($I:$I,$B:$B,B203,$E:$E,E203),F203/SUMIFS($F:$F,$B:$B,B203,$E:$E,E203)))</f>
        <v/>
      </c>
      <c r="L203" s="3">
        <f>IF(K203="","",K203*SUMIFS(Daily!$D:$D,Daily!$B:$B,B203,Daily!$A:$A,E203)+N(J203))</f>
        <v/>
      </c>
      <c r="M203" s="3">
        <f>IF(K203="","",K203*SUMIFS(Daily!$G:$G,Daily!$B:$B,B203,Daily!$A:$A,E203))</f>
        <v/>
      </c>
      <c r="N203" s="3">
        <f>IF(K203="","",K203*SUMIFS(Daily!$H:$H,Daily!$B:$B,B203,Daily!$A:$A,E203))</f>
        <v/>
      </c>
      <c r="O203" s="3">
        <f>IF(OR(M203="",F203=0),"",M203/F203*10000)</f>
        <v/>
      </c>
      <c r="P203" s="8" t="n"/>
      <c r="Q203" s="8" t="n"/>
      <c r="R203" s="6">
        <f>IF(OR(F203="",F203=0),"",N(I203)/F203)</f>
        <v/>
      </c>
      <c r="S203" s="3">
        <f>IF(OR(F203="",F203=0),"",(N(H203)+N(Q203))/F203*1000)</f>
        <v/>
      </c>
    </row>
    <row r="204">
      <c r="A204" s="8" t="n"/>
      <c r="B204" s="8" t="n"/>
      <c r="C204" s="8" t="n"/>
      <c r="D204" s="8" t="n"/>
      <c r="E204" s="9" t="n"/>
      <c r="F204" s="8" t="n"/>
      <c r="G204" s="8" t="n"/>
      <c r="H204" s="8" t="n"/>
      <c r="I204" s="8" t="n"/>
      <c r="J204" s="8" t="n"/>
      <c r="K204" s="10">
        <f>IF(OR(F204="",SUMIFS($F:$F,$B:$B,B204,$E:$E,E204)=0),"",IF(SUMIFS($I:$I,$B:$B,B204,$E:$E,E204)&gt;0,N(I204)/SUMIFS($I:$I,$B:$B,B204,$E:$E,E204),F204/SUMIFS($F:$F,$B:$B,B204,$E:$E,E204)))</f>
        <v/>
      </c>
      <c r="L204" s="3">
        <f>IF(K204="","",K204*SUMIFS(Daily!$D:$D,Daily!$B:$B,B204,Daily!$A:$A,E204)+N(J204))</f>
        <v/>
      </c>
      <c r="M204" s="3">
        <f>IF(K204="","",K204*SUMIFS(Daily!$G:$G,Daily!$B:$B,B204,Daily!$A:$A,E204))</f>
        <v/>
      </c>
      <c r="N204" s="3">
        <f>IF(K204="","",K204*SUMIFS(Daily!$H:$H,Daily!$B:$B,B204,Daily!$A:$A,E204))</f>
        <v/>
      </c>
      <c r="O204" s="3">
        <f>IF(OR(M204="",F204=0),"",M204/F204*10000)</f>
        <v/>
      </c>
      <c r="P204" s="8" t="n"/>
      <c r="Q204" s="8" t="n"/>
      <c r="R204" s="6">
        <f>IF(OR(F204="",F204=0),"",N(I204)/F204)</f>
        <v/>
      </c>
      <c r="S204" s="3">
        <f>IF(OR(F204="",F204=0),"",(N(H204)+N(Q204))/F204*1000)</f>
        <v/>
      </c>
    </row>
    <row r="205">
      <c r="A205" s="8" t="n"/>
      <c r="B205" s="8" t="n"/>
      <c r="C205" s="8" t="n"/>
      <c r="D205" s="8" t="n"/>
      <c r="E205" s="9" t="n"/>
      <c r="F205" s="8" t="n"/>
      <c r="G205" s="8" t="n"/>
      <c r="H205" s="8" t="n"/>
      <c r="I205" s="8" t="n"/>
      <c r="J205" s="8" t="n"/>
      <c r="K205" s="10">
        <f>IF(OR(F205="",SUMIFS($F:$F,$B:$B,B205,$E:$E,E205)=0),"",IF(SUMIFS($I:$I,$B:$B,B205,$E:$E,E205)&gt;0,N(I205)/SUMIFS($I:$I,$B:$B,B205,$E:$E,E205),F205/SUMIFS($F:$F,$B:$B,B205,$E:$E,E205)))</f>
        <v/>
      </c>
      <c r="L205" s="3">
        <f>IF(K205="","",K205*SUMIFS(Daily!$D:$D,Daily!$B:$B,B205,Daily!$A:$A,E205)+N(J205))</f>
        <v/>
      </c>
      <c r="M205" s="3">
        <f>IF(K205="","",K205*SUMIFS(Daily!$G:$G,Daily!$B:$B,B205,Daily!$A:$A,E205))</f>
        <v/>
      </c>
      <c r="N205" s="3">
        <f>IF(K205="","",K205*SUMIFS(Daily!$H:$H,Daily!$B:$B,B205,Daily!$A:$A,E205))</f>
        <v/>
      </c>
      <c r="O205" s="3">
        <f>IF(OR(M205="",F205=0),"",M205/F205*10000)</f>
        <v/>
      </c>
      <c r="P205" s="8" t="n"/>
      <c r="Q205" s="8" t="n"/>
      <c r="R205" s="6">
        <f>IF(OR(F205="",F205=0),"",N(I205)/F205)</f>
        <v/>
      </c>
      <c r="S205" s="3">
        <f>IF(OR(F205="",F205=0),"",(N(H205)+N(Q205))/F205*1000)</f>
        <v/>
      </c>
    </row>
    <row r="206">
      <c r="A206" s="8" t="n"/>
      <c r="B206" s="8" t="n"/>
      <c r="C206" s="8" t="n"/>
      <c r="D206" s="8" t="n"/>
      <c r="E206" s="9" t="n"/>
      <c r="F206" s="8" t="n"/>
      <c r="G206" s="8" t="n"/>
      <c r="H206" s="8" t="n"/>
      <c r="I206" s="8" t="n"/>
      <c r="J206" s="8" t="n"/>
      <c r="K206" s="10">
        <f>IF(OR(F206="",SUMIFS($F:$F,$B:$B,B206,$E:$E,E206)=0),"",IF(SUMIFS($I:$I,$B:$B,B206,$E:$E,E206)&gt;0,N(I206)/SUMIFS($I:$I,$B:$B,B206,$E:$E,E206),F206/SUMIFS($F:$F,$B:$B,B206,$E:$E,E206)))</f>
        <v/>
      </c>
      <c r="L206" s="3">
        <f>IF(K206="","",K206*SUMIFS(Daily!$D:$D,Daily!$B:$B,B206,Daily!$A:$A,E206)+N(J206))</f>
        <v/>
      </c>
      <c r="M206" s="3">
        <f>IF(K206="","",K206*SUMIFS(Daily!$G:$G,Daily!$B:$B,B206,Daily!$A:$A,E206))</f>
        <v/>
      </c>
      <c r="N206" s="3">
        <f>IF(K206="","",K206*SUMIFS(Daily!$H:$H,Daily!$B:$B,B206,Daily!$A:$A,E206))</f>
        <v/>
      </c>
      <c r="O206" s="3">
        <f>IF(OR(M206="",F206=0),"",M206/F206*10000)</f>
        <v/>
      </c>
      <c r="P206" s="8" t="n"/>
      <c r="Q206" s="8" t="n"/>
      <c r="R206" s="6">
        <f>IF(OR(F206="",F206=0),"",N(I206)/F206)</f>
        <v/>
      </c>
      <c r="S206" s="3">
        <f>IF(OR(F206="",F206=0),"",(N(H206)+N(Q206))/F206*1000)</f>
        <v/>
      </c>
    </row>
    <row r="207">
      <c r="A207" s="8" t="n"/>
      <c r="B207" s="8" t="n"/>
      <c r="C207" s="8" t="n"/>
      <c r="D207" s="8" t="n"/>
      <c r="E207" s="9" t="n"/>
      <c r="F207" s="8" t="n"/>
      <c r="G207" s="8" t="n"/>
      <c r="H207" s="8" t="n"/>
      <c r="I207" s="8" t="n"/>
      <c r="J207" s="8" t="n"/>
      <c r="K207" s="10">
        <f>IF(OR(F207="",SUMIFS($F:$F,$B:$B,B207,$E:$E,E207)=0),"",IF(SUMIFS($I:$I,$B:$B,B207,$E:$E,E207)&gt;0,N(I207)/SUMIFS($I:$I,$B:$B,B207,$E:$E,E207),F207/SUMIFS($F:$F,$B:$B,B207,$E:$E,E207)))</f>
        <v/>
      </c>
      <c r="L207" s="3">
        <f>IF(K207="","",K207*SUMIFS(Daily!$D:$D,Daily!$B:$B,B207,Daily!$A:$A,E207)+N(J207))</f>
        <v/>
      </c>
      <c r="M207" s="3">
        <f>IF(K207="","",K207*SUMIFS(Daily!$G:$G,Daily!$B:$B,B207,Daily!$A:$A,E207))</f>
        <v/>
      </c>
      <c r="N207" s="3">
        <f>IF(K207="","",K207*SUMIFS(Daily!$H:$H,Daily!$B:$B,B207,Daily!$A:$A,E207))</f>
        <v/>
      </c>
      <c r="O207" s="3">
        <f>IF(OR(M207="",F207=0),"",M207/F207*10000)</f>
        <v/>
      </c>
      <c r="P207" s="8" t="n"/>
      <c r="Q207" s="8" t="n"/>
      <c r="R207" s="6">
        <f>IF(OR(F207="",F207=0),"",N(I207)/F207)</f>
        <v/>
      </c>
      <c r="S207" s="3">
        <f>IF(OR(F207="",F207=0),"",(N(H207)+N(Q207))/F207*1000)</f>
        <v/>
      </c>
    </row>
    <row r="208">
      <c r="A208" s="8" t="n"/>
      <c r="B208" s="8" t="n"/>
      <c r="C208" s="8" t="n"/>
      <c r="D208" s="8" t="n"/>
      <c r="E208" s="9" t="n"/>
      <c r="F208" s="8" t="n"/>
      <c r="G208" s="8" t="n"/>
      <c r="H208" s="8" t="n"/>
      <c r="I208" s="8" t="n"/>
      <c r="J208" s="8" t="n"/>
      <c r="K208" s="10">
        <f>IF(OR(F208="",SUMIFS($F:$F,$B:$B,B208,$E:$E,E208)=0),"",IF(SUMIFS($I:$I,$B:$B,B208,$E:$E,E208)&gt;0,N(I208)/SUMIFS($I:$I,$B:$B,B208,$E:$E,E208),F208/SUMIFS($F:$F,$B:$B,B208,$E:$E,E208)))</f>
        <v/>
      </c>
      <c r="L208" s="3">
        <f>IF(K208="","",K208*SUMIFS(Daily!$D:$D,Daily!$B:$B,B208,Daily!$A:$A,E208)+N(J208))</f>
        <v/>
      </c>
      <c r="M208" s="3">
        <f>IF(K208="","",K208*SUMIFS(Daily!$G:$G,Daily!$B:$B,B208,Daily!$A:$A,E208))</f>
        <v/>
      </c>
      <c r="N208" s="3">
        <f>IF(K208="","",K208*SUMIFS(Daily!$H:$H,Daily!$B:$B,B208,Daily!$A:$A,E208))</f>
        <v/>
      </c>
      <c r="O208" s="3">
        <f>IF(OR(M208="",F208=0),"",M208/F208*10000)</f>
        <v/>
      </c>
      <c r="P208" s="8" t="n"/>
      <c r="Q208" s="8" t="n"/>
      <c r="R208" s="6">
        <f>IF(OR(F208="",F208=0),"",N(I208)/F208)</f>
        <v/>
      </c>
      <c r="S208" s="3">
        <f>IF(OR(F208="",F208=0),"",(N(H208)+N(Q208))/F208*1000)</f>
        <v/>
      </c>
    </row>
    <row r="209">
      <c r="A209" s="8" t="n"/>
      <c r="B209" s="8" t="n"/>
      <c r="C209" s="8" t="n"/>
      <c r="D209" s="8" t="n"/>
      <c r="E209" s="9" t="n"/>
      <c r="F209" s="8" t="n"/>
      <c r="G209" s="8" t="n"/>
      <c r="H209" s="8" t="n"/>
      <c r="I209" s="8" t="n"/>
      <c r="J209" s="8" t="n"/>
      <c r="K209" s="10">
        <f>IF(OR(F209="",SUMIFS($F:$F,$B:$B,B209,$E:$E,E209)=0),"",IF(SUMIFS($I:$I,$B:$B,B209,$E:$E,E209)&gt;0,N(I209)/SUMIFS($I:$I,$B:$B,B209,$E:$E,E209),F209/SUMIFS($F:$F,$B:$B,B209,$E:$E,E209)))</f>
        <v/>
      </c>
      <c r="L209" s="3">
        <f>IF(K209="","",K209*SUMIFS(Daily!$D:$D,Daily!$B:$B,B209,Daily!$A:$A,E209)+N(J209))</f>
        <v/>
      </c>
      <c r="M209" s="3">
        <f>IF(K209="","",K209*SUMIFS(Daily!$G:$G,Daily!$B:$B,B209,Daily!$A:$A,E209))</f>
        <v/>
      </c>
      <c r="N209" s="3">
        <f>IF(K209="","",K209*SUMIFS(Daily!$H:$H,Daily!$B:$B,B209,Daily!$A:$A,E209))</f>
        <v/>
      </c>
      <c r="O209" s="3">
        <f>IF(OR(M209="",F209=0),"",M209/F209*10000)</f>
        <v/>
      </c>
      <c r="P209" s="8" t="n"/>
      <c r="Q209" s="8" t="n"/>
      <c r="R209" s="6">
        <f>IF(OR(F209="",F209=0),"",N(I209)/F209)</f>
        <v/>
      </c>
      <c r="S209" s="3">
        <f>IF(OR(F209="",F209=0),"",(N(H209)+N(Q209))/F209*1000)</f>
        <v/>
      </c>
    </row>
    <row r="210">
      <c r="A210" s="8" t="n"/>
      <c r="B210" s="8" t="n"/>
      <c r="C210" s="8" t="n"/>
      <c r="D210" s="8" t="n"/>
      <c r="E210" s="9" t="n"/>
      <c r="F210" s="8" t="n"/>
      <c r="G210" s="8" t="n"/>
      <c r="H210" s="8" t="n"/>
      <c r="I210" s="8" t="n"/>
      <c r="J210" s="8" t="n"/>
      <c r="K210" s="10">
        <f>IF(OR(F210="",SUMIFS($F:$F,$B:$B,B210,$E:$E,E210)=0),"",IF(SUMIFS($I:$I,$B:$B,B210,$E:$E,E210)&gt;0,N(I210)/SUMIFS($I:$I,$B:$B,B210,$E:$E,E210),F210/SUMIFS($F:$F,$B:$B,B210,$E:$E,E210)))</f>
        <v/>
      </c>
      <c r="L210" s="3">
        <f>IF(K210="","",K210*SUMIFS(Daily!$D:$D,Daily!$B:$B,B210,Daily!$A:$A,E210)+N(J210))</f>
        <v/>
      </c>
      <c r="M210" s="3">
        <f>IF(K210="","",K210*SUMIFS(Daily!$G:$G,Daily!$B:$B,B210,Daily!$A:$A,E210))</f>
        <v/>
      </c>
      <c r="N210" s="3">
        <f>IF(K210="","",K210*SUMIFS(Daily!$H:$H,Daily!$B:$B,B210,Daily!$A:$A,E210))</f>
        <v/>
      </c>
      <c r="O210" s="3">
        <f>IF(OR(M210="",F210=0),"",M210/F210*10000)</f>
        <v/>
      </c>
      <c r="P210" s="8" t="n"/>
      <c r="Q210" s="8" t="n"/>
      <c r="R210" s="6">
        <f>IF(OR(F210="",F210=0),"",N(I210)/F210)</f>
        <v/>
      </c>
      <c r="S210" s="3">
        <f>IF(OR(F210="",F210=0),"",(N(H210)+N(Q210))/F210*1000)</f>
        <v/>
      </c>
    </row>
    <row r="211">
      <c r="A211" s="8" t="n"/>
      <c r="B211" s="8" t="n"/>
      <c r="C211" s="8" t="n"/>
      <c r="D211" s="8" t="n"/>
      <c r="E211" s="9" t="n"/>
      <c r="F211" s="8" t="n"/>
      <c r="G211" s="8" t="n"/>
      <c r="H211" s="8" t="n"/>
      <c r="I211" s="8" t="n"/>
      <c r="J211" s="8" t="n"/>
      <c r="K211" s="10">
        <f>IF(OR(F211="",SUMIFS($F:$F,$B:$B,B211,$E:$E,E211)=0),"",IF(SUMIFS($I:$I,$B:$B,B211,$E:$E,E211)&gt;0,N(I211)/SUMIFS($I:$I,$B:$B,B211,$E:$E,E211),F211/SUMIFS($F:$F,$B:$B,B211,$E:$E,E211)))</f>
        <v/>
      </c>
      <c r="L211" s="3">
        <f>IF(K211="","",K211*SUMIFS(Daily!$D:$D,Daily!$B:$B,B211,Daily!$A:$A,E211)+N(J211))</f>
        <v/>
      </c>
      <c r="M211" s="3">
        <f>IF(K211="","",K211*SUMIFS(Daily!$G:$G,Daily!$B:$B,B211,Daily!$A:$A,E211))</f>
        <v/>
      </c>
      <c r="N211" s="3">
        <f>IF(K211="","",K211*SUMIFS(Daily!$H:$H,Daily!$B:$B,B211,Daily!$A:$A,E211))</f>
        <v/>
      </c>
      <c r="O211" s="3">
        <f>IF(OR(M211="",F211=0),"",M211/F211*10000)</f>
        <v/>
      </c>
      <c r="P211" s="8" t="n"/>
      <c r="Q211" s="8" t="n"/>
      <c r="R211" s="6">
        <f>IF(OR(F211="",F211=0),"",N(I211)/F211)</f>
        <v/>
      </c>
      <c r="S211" s="3">
        <f>IF(OR(F211="",F211=0),"",(N(H211)+N(Q211))/F211*1000)</f>
        <v/>
      </c>
    </row>
    <row r="212">
      <c r="A212" s="8" t="n"/>
      <c r="B212" s="8" t="n"/>
      <c r="C212" s="8" t="n"/>
      <c r="D212" s="8" t="n"/>
      <c r="E212" s="9" t="n"/>
      <c r="F212" s="8" t="n"/>
      <c r="G212" s="8" t="n"/>
      <c r="H212" s="8" t="n"/>
      <c r="I212" s="8" t="n"/>
      <c r="J212" s="8" t="n"/>
      <c r="K212" s="10">
        <f>IF(OR(F212="",SUMIFS($F:$F,$B:$B,B212,$E:$E,E212)=0),"",IF(SUMIFS($I:$I,$B:$B,B212,$E:$E,E212)&gt;0,N(I212)/SUMIFS($I:$I,$B:$B,B212,$E:$E,E212),F212/SUMIFS($F:$F,$B:$B,B212,$E:$E,E212)))</f>
        <v/>
      </c>
      <c r="L212" s="3">
        <f>IF(K212="","",K212*SUMIFS(Daily!$D:$D,Daily!$B:$B,B212,Daily!$A:$A,E212)+N(J212))</f>
        <v/>
      </c>
      <c r="M212" s="3">
        <f>IF(K212="","",K212*SUMIFS(Daily!$G:$G,Daily!$B:$B,B212,Daily!$A:$A,E212))</f>
        <v/>
      </c>
      <c r="N212" s="3">
        <f>IF(K212="","",K212*SUMIFS(Daily!$H:$H,Daily!$B:$B,B212,Daily!$A:$A,E212))</f>
        <v/>
      </c>
      <c r="O212" s="3">
        <f>IF(OR(M212="",F212=0),"",M212/F212*10000)</f>
        <v/>
      </c>
      <c r="P212" s="8" t="n"/>
      <c r="Q212" s="8" t="n"/>
      <c r="R212" s="6">
        <f>IF(OR(F212="",F212=0),"",N(I212)/F212)</f>
        <v/>
      </c>
      <c r="S212" s="3">
        <f>IF(OR(F212="",F212=0),"",(N(H212)+N(Q212))/F212*1000)</f>
        <v/>
      </c>
    </row>
    <row r="213">
      <c r="A213" s="8" t="n"/>
      <c r="B213" s="8" t="n"/>
      <c r="C213" s="8" t="n"/>
      <c r="D213" s="8" t="n"/>
      <c r="E213" s="9" t="n"/>
      <c r="F213" s="8" t="n"/>
      <c r="G213" s="8" t="n"/>
      <c r="H213" s="8" t="n"/>
      <c r="I213" s="8" t="n"/>
      <c r="J213" s="8" t="n"/>
      <c r="K213" s="10">
        <f>IF(OR(F213="",SUMIFS($F:$F,$B:$B,B213,$E:$E,E213)=0),"",IF(SUMIFS($I:$I,$B:$B,B213,$E:$E,E213)&gt;0,N(I213)/SUMIFS($I:$I,$B:$B,B213,$E:$E,E213),F213/SUMIFS($F:$F,$B:$B,B213,$E:$E,E213)))</f>
        <v/>
      </c>
      <c r="L213" s="3">
        <f>IF(K213="","",K213*SUMIFS(Daily!$D:$D,Daily!$B:$B,B213,Daily!$A:$A,E213)+N(J213))</f>
        <v/>
      </c>
      <c r="M213" s="3">
        <f>IF(K213="","",K213*SUMIFS(Daily!$G:$G,Daily!$B:$B,B213,Daily!$A:$A,E213))</f>
        <v/>
      </c>
      <c r="N213" s="3">
        <f>IF(K213="","",K213*SUMIFS(Daily!$H:$H,Daily!$B:$B,B213,Daily!$A:$A,E213))</f>
        <v/>
      </c>
      <c r="O213" s="3">
        <f>IF(OR(M213="",F213=0),"",M213/F213*10000)</f>
        <v/>
      </c>
      <c r="P213" s="8" t="n"/>
      <c r="Q213" s="8" t="n"/>
      <c r="R213" s="6">
        <f>IF(OR(F213="",F213=0),"",N(I213)/F213)</f>
        <v/>
      </c>
      <c r="S213" s="3">
        <f>IF(OR(F213="",F213=0),"",(N(H213)+N(Q213))/F213*1000)</f>
        <v/>
      </c>
    </row>
    <row r="214">
      <c r="A214" s="8" t="n"/>
      <c r="B214" s="8" t="n"/>
      <c r="C214" s="8" t="n"/>
      <c r="D214" s="8" t="n"/>
      <c r="E214" s="9" t="n"/>
      <c r="F214" s="8" t="n"/>
      <c r="G214" s="8" t="n"/>
      <c r="H214" s="8" t="n"/>
      <c r="I214" s="8" t="n"/>
      <c r="J214" s="8" t="n"/>
      <c r="K214" s="10">
        <f>IF(OR(F214="",SUMIFS($F:$F,$B:$B,B214,$E:$E,E214)=0),"",IF(SUMIFS($I:$I,$B:$B,B214,$E:$E,E214)&gt;0,N(I214)/SUMIFS($I:$I,$B:$B,B214,$E:$E,E214),F214/SUMIFS($F:$F,$B:$B,B214,$E:$E,E214)))</f>
        <v/>
      </c>
      <c r="L214" s="3">
        <f>IF(K214="","",K214*SUMIFS(Daily!$D:$D,Daily!$B:$B,B214,Daily!$A:$A,E214)+N(J214))</f>
        <v/>
      </c>
      <c r="M214" s="3">
        <f>IF(K214="","",K214*SUMIFS(Daily!$G:$G,Daily!$B:$B,B214,Daily!$A:$A,E214))</f>
        <v/>
      </c>
      <c r="N214" s="3">
        <f>IF(K214="","",K214*SUMIFS(Daily!$H:$H,Daily!$B:$B,B214,Daily!$A:$A,E214))</f>
        <v/>
      </c>
      <c r="O214" s="3">
        <f>IF(OR(M214="",F214=0),"",M214/F214*10000)</f>
        <v/>
      </c>
      <c r="P214" s="8" t="n"/>
      <c r="Q214" s="8" t="n"/>
      <c r="R214" s="6">
        <f>IF(OR(F214="",F214=0),"",N(I214)/F214)</f>
        <v/>
      </c>
      <c r="S214" s="3">
        <f>IF(OR(F214="",F214=0),"",(N(H214)+N(Q214))/F214*1000)</f>
        <v/>
      </c>
    </row>
    <row r="215">
      <c r="A215" s="8" t="n"/>
      <c r="B215" s="8" t="n"/>
      <c r="C215" s="8" t="n"/>
      <c r="D215" s="8" t="n"/>
      <c r="E215" s="9" t="n"/>
      <c r="F215" s="8" t="n"/>
      <c r="G215" s="8" t="n"/>
      <c r="H215" s="8" t="n"/>
      <c r="I215" s="8" t="n"/>
      <c r="J215" s="8" t="n"/>
      <c r="K215" s="10">
        <f>IF(OR(F215="",SUMIFS($F:$F,$B:$B,B215,$E:$E,E215)=0),"",IF(SUMIFS($I:$I,$B:$B,B215,$E:$E,E215)&gt;0,N(I215)/SUMIFS($I:$I,$B:$B,B215,$E:$E,E215),F215/SUMIFS($F:$F,$B:$B,B215,$E:$E,E215)))</f>
        <v/>
      </c>
      <c r="L215" s="3">
        <f>IF(K215="","",K215*SUMIFS(Daily!$D:$D,Daily!$B:$B,B215,Daily!$A:$A,E215)+N(J215))</f>
        <v/>
      </c>
      <c r="M215" s="3">
        <f>IF(K215="","",K215*SUMIFS(Daily!$G:$G,Daily!$B:$B,B215,Daily!$A:$A,E215))</f>
        <v/>
      </c>
      <c r="N215" s="3">
        <f>IF(K215="","",K215*SUMIFS(Daily!$H:$H,Daily!$B:$B,B215,Daily!$A:$A,E215))</f>
        <v/>
      </c>
      <c r="O215" s="3">
        <f>IF(OR(M215="",F215=0),"",M215/F215*10000)</f>
        <v/>
      </c>
      <c r="P215" s="8" t="n"/>
      <c r="Q215" s="8" t="n"/>
      <c r="R215" s="6">
        <f>IF(OR(F215="",F215=0),"",N(I215)/F215)</f>
        <v/>
      </c>
      <c r="S215" s="3">
        <f>IF(OR(F215="",F215=0),"",(N(H215)+N(Q215))/F215*1000)</f>
        <v/>
      </c>
    </row>
    <row r="216">
      <c r="A216" s="8" t="n"/>
      <c r="B216" s="8" t="n"/>
      <c r="C216" s="8" t="n"/>
      <c r="D216" s="8" t="n"/>
      <c r="E216" s="9" t="n"/>
      <c r="F216" s="8" t="n"/>
      <c r="G216" s="8" t="n"/>
      <c r="H216" s="8" t="n"/>
      <c r="I216" s="8" t="n"/>
      <c r="J216" s="8" t="n"/>
      <c r="K216" s="10">
        <f>IF(OR(F216="",SUMIFS($F:$F,$B:$B,B216,$E:$E,E216)=0),"",IF(SUMIFS($I:$I,$B:$B,B216,$E:$E,E216)&gt;0,N(I216)/SUMIFS($I:$I,$B:$B,B216,$E:$E,E216),F216/SUMIFS($F:$F,$B:$B,B216,$E:$E,E216)))</f>
        <v/>
      </c>
      <c r="L216" s="3">
        <f>IF(K216="","",K216*SUMIFS(Daily!$D:$D,Daily!$B:$B,B216,Daily!$A:$A,E216)+N(J216))</f>
        <v/>
      </c>
      <c r="M216" s="3">
        <f>IF(K216="","",K216*SUMIFS(Daily!$G:$G,Daily!$B:$B,B216,Daily!$A:$A,E216))</f>
        <v/>
      </c>
      <c r="N216" s="3">
        <f>IF(K216="","",K216*SUMIFS(Daily!$H:$H,Daily!$B:$B,B216,Daily!$A:$A,E216))</f>
        <v/>
      </c>
      <c r="O216" s="3">
        <f>IF(OR(M216="",F216=0),"",M216/F216*10000)</f>
        <v/>
      </c>
      <c r="P216" s="8" t="n"/>
      <c r="Q216" s="8" t="n"/>
      <c r="R216" s="6">
        <f>IF(OR(F216="",F216=0),"",N(I216)/F216)</f>
        <v/>
      </c>
      <c r="S216" s="3">
        <f>IF(OR(F216="",F216=0),"",(N(H216)+N(Q216))/F216*1000)</f>
        <v/>
      </c>
    </row>
    <row r="217">
      <c r="A217" s="8" t="n"/>
      <c r="B217" s="8" t="n"/>
      <c r="C217" s="8" t="n"/>
      <c r="D217" s="8" t="n"/>
      <c r="E217" s="9" t="n"/>
      <c r="F217" s="8" t="n"/>
      <c r="G217" s="8" t="n"/>
      <c r="H217" s="8" t="n"/>
      <c r="I217" s="8" t="n"/>
      <c r="J217" s="8" t="n"/>
      <c r="K217" s="10">
        <f>IF(OR(F217="",SUMIFS($F:$F,$B:$B,B217,$E:$E,E217)=0),"",IF(SUMIFS($I:$I,$B:$B,B217,$E:$E,E217)&gt;0,N(I217)/SUMIFS($I:$I,$B:$B,B217,$E:$E,E217),F217/SUMIFS($F:$F,$B:$B,B217,$E:$E,E217)))</f>
        <v/>
      </c>
      <c r="L217" s="3">
        <f>IF(K217="","",K217*SUMIFS(Daily!$D:$D,Daily!$B:$B,B217,Daily!$A:$A,E217)+N(J217))</f>
        <v/>
      </c>
      <c r="M217" s="3">
        <f>IF(K217="","",K217*SUMIFS(Daily!$G:$G,Daily!$B:$B,B217,Daily!$A:$A,E217))</f>
        <v/>
      </c>
      <c r="N217" s="3">
        <f>IF(K217="","",K217*SUMIFS(Daily!$H:$H,Daily!$B:$B,B217,Daily!$A:$A,E217))</f>
        <v/>
      </c>
      <c r="O217" s="3">
        <f>IF(OR(M217="",F217=0),"",M217/F217*10000)</f>
        <v/>
      </c>
      <c r="P217" s="8" t="n"/>
      <c r="Q217" s="8" t="n"/>
      <c r="R217" s="6">
        <f>IF(OR(F217="",F217=0),"",N(I217)/F217)</f>
        <v/>
      </c>
      <c r="S217" s="3">
        <f>IF(OR(F217="",F217=0),"",(N(H217)+N(Q217))/F217*1000)</f>
        <v/>
      </c>
    </row>
    <row r="218">
      <c r="A218" s="8" t="n"/>
      <c r="B218" s="8" t="n"/>
      <c r="C218" s="8" t="n"/>
      <c r="D218" s="8" t="n"/>
      <c r="E218" s="9" t="n"/>
      <c r="F218" s="8" t="n"/>
      <c r="G218" s="8" t="n"/>
      <c r="H218" s="8" t="n"/>
      <c r="I218" s="8" t="n"/>
      <c r="J218" s="8" t="n"/>
      <c r="K218" s="10">
        <f>IF(OR(F218="",SUMIFS($F:$F,$B:$B,B218,$E:$E,E218)=0),"",IF(SUMIFS($I:$I,$B:$B,B218,$E:$E,E218)&gt;0,N(I218)/SUMIFS($I:$I,$B:$B,B218,$E:$E,E218),F218/SUMIFS($F:$F,$B:$B,B218,$E:$E,E218)))</f>
        <v/>
      </c>
      <c r="L218" s="3">
        <f>IF(K218="","",K218*SUMIFS(Daily!$D:$D,Daily!$B:$B,B218,Daily!$A:$A,E218)+N(J218))</f>
        <v/>
      </c>
      <c r="M218" s="3">
        <f>IF(K218="","",K218*SUMIFS(Daily!$G:$G,Daily!$B:$B,B218,Daily!$A:$A,E218))</f>
        <v/>
      </c>
      <c r="N218" s="3">
        <f>IF(K218="","",K218*SUMIFS(Daily!$H:$H,Daily!$B:$B,B218,Daily!$A:$A,E218))</f>
        <v/>
      </c>
      <c r="O218" s="3">
        <f>IF(OR(M218="",F218=0),"",M218/F218*10000)</f>
        <v/>
      </c>
      <c r="P218" s="8" t="n"/>
      <c r="Q218" s="8" t="n"/>
      <c r="R218" s="6">
        <f>IF(OR(F218="",F218=0),"",N(I218)/F218)</f>
        <v/>
      </c>
      <c r="S218" s="3">
        <f>IF(OR(F218="",F218=0),"",(N(H218)+N(Q218))/F218*1000)</f>
        <v/>
      </c>
    </row>
    <row r="219">
      <c r="A219" s="8" t="n"/>
      <c r="B219" s="8" t="n"/>
      <c r="C219" s="8" t="n"/>
      <c r="D219" s="8" t="n"/>
      <c r="E219" s="9" t="n"/>
      <c r="F219" s="8" t="n"/>
      <c r="G219" s="8" t="n"/>
      <c r="H219" s="8" t="n"/>
      <c r="I219" s="8" t="n"/>
      <c r="J219" s="8" t="n"/>
      <c r="K219" s="10">
        <f>IF(OR(F219="",SUMIFS($F:$F,$B:$B,B219,$E:$E,E219)=0),"",IF(SUMIFS($I:$I,$B:$B,B219,$E:$E,E219)&gt;0,N(I219)/SUMIFS($I:$I,$B:$B,B219,$E:$E,E219),F219/SUMIFS($F:$F,$B:$B,B219,$E:$E,E219)))</f>
        <v/>
      </c>
      <c r="L219" s="3">
        <f>IF(K219="","",K219*SUMIFS(Daily!$D:$D,Daily!$B:$B,B219,Daily!$A:$A,E219)+N(J219))</f>
        <v/>
      </c>
      <c r="M219" s="3">
        <f>IF(K219="","",K219*SUMIFS(Daily!$G:$G,Daily!$B:$B,B219,Daily!$A:$A,E219))</f>
        <v/>
      </c>
      <c r="N219" s="3">
        <f>IF(K219="","",K219*SUMIFS(Daily!$H:$H,Daily!$B:$B,B219,Daily!$A:$A,E219))</f>
        <v/>
      </c>
      <c r="O219" s="3">
        <f>IF(OR(M219="",F219=0),"",M219/F219*10000)</f>
        <v/>
      </c>
      <c r="P219" s="8" t="n"/>
      <c r="Q219" s="8" t="n"/>
      <c r="R219" s="6">
        <f>IF(OR(F219="",F219=0),"",N(I219)/F219)</f>
        <v/>
      </c>
      <c r="S219" s="3">
        <f>IF(OR(F219="",F219=0),"",(N(H219)+N(Q219))/F219*1000)</f>
        <v/>
      </c>
    </row>
    <row r="220">
      <c r="A220" s="8" t="n"/>
      <c r="B220" s="8" t="n"/>
      <c r="C220" s="8" t="n"/>
      <c r="D220" s="8" t="n"/>
      <c r="E220" s="9" t="n"/>
      <c r="F220" s="8" t="n"/>
      <c r="G220" s="8" t="n"/>
      <c r="H220" s="8" t="n"/>
      <c r="I220" s="8" t="n"/>
      <c r="J220" s="8" t="n"/>
      <c r="K220" s="10">
        <f>IF(OR(F220="",SUMIFS($F:$F,$B:$B,B220,$E:$E,E220)=0),"",IF(SUMIFS($I:$I,$B:$B,B220,$E:$E,E220)&gt;0,N(I220)/SUMIFS($I:$I,$B:$B,B220,$E:$E,E220),F220/SUMIFS($F:$F,$B:$B,B220,$E:$E,E220)))</f>
        <v/>
      </c>
      <c r="L220" s="3">
        <f>IF(K220="","",K220*SUMIFS(Daily!$D:$D,Daily!$B:$B,B220,Daily!$A:$A,E220)+N(J220))</f>
        <v/>
      </c>
      <c r="M220" s="3">
        <f>IF(K220="","",K220*SUMIFS(Daily!$G:$G,Daily!$B:$B,B220,Daily!$A:$A,E220))</f>
        <v/>
      </c>
      <c r="N220" s="3">
        <f>IF(K220="","",K220*SUMIFS(Daily!$H:$H,Daily!$B:$B,B220,Daily!$A:$A,E220))</f>
        <v/>
      </c>
      <c r="O220" s="3">
        <f>IF(OR(M220="",F220=0),"",M220/F220*10000)</f>
        <v/>
      </c>
      <c r="P220" s="8" t="n"/>
      <c r="Q220" s="8" t="n"/>
      <c r="R220" s="6">
        <f>IF(OR(F220="",F220=0),"",N(I220)/F220)</f>
        <v/>
      </c>
      <c r="S220" s="3">
        <f>IF(OR(F220="",F220=0),"",(N(H220)+N(Q220))/F220*1000)</f>
        <v/>
      </c>
    </row>
    <row r="221">
      <c r="A221" s="8" t="n"/>
      <c r="B221" s="8" t="n"/>
      <c r="C221" s="8" t="n"/>
      <c r="D221" s="8" t="n"/>
      <c r="E221" s="9" t="n"/>
      <c r="F221" s="8" t="n"/>
      <c r="G221" s="8" t="n"/>
      <c r="H221" s="8" t="n"/>
      <c r="I221" s="8" t="n"/>
      <c r="J221" s="8" t="n"/>
      <c r="K221" s="10">
        <f>IF(OR(F221="",SUMIFS($F:$F,$B:$B,B221,$E:$E,E221)=0),"",IF(SUMIFS($I:$I,$B:$B,B221,$E:$E,E221)&gt;0,N(I221)/SUMIFS($I:$I,$B:$B,B221,$E:$E,E221),F221/SUMIFS($F:$F,$B:$B,B221,$E:$E,E221)))</f>
        <v/>
      </c>
      <c r="L221" s="3">
        <f>IF(K221="","",K221*SUMIFS(Daily!$D:$D,Daily!$B:$B,B221,Daily!$A:$A,E221)+N(J221))</f>
        <v/>
      </c>
      <c r="M221" s="3">
        <f>IF(K221="","",K221*SUMIFS(Daily!$G:$G,Daily!$B:$B,B221,Daily!$A:$A,E221))</f>
        <v/>
      </c>
      <c r="N221" s="3">
        <f>IF(K221="","",K221*SUMIFS(Daily!$H:$H,Daily!$B:$B,B221,Daily!$A:$A,E221))</f>
        <v/>
      </c>
      <c r="O221" s="3">
        <f>IF(OR(M221="",F221=0),"",M221/F221*10000)</f>
        <v/>
      </c>
      <c r="P221" s="8" t="n"/>
      <c r="Q221" s="8" t="n"/>
      <c r="R221" s="6">
        <f>IF(OR(F221="",F221=0),"",N(I221)/F221)</f>
        <v/>
      </c>
      <c r="S221" s="3">
        <f>IF(OR(F221="",F221=0),"",(N(H221)+N(Q221))/F221*1000)</f>
        <v/>
      </c>
    </row>
    <row r="222">
      <c r="A222" s="8" t="n"/>
      <c r="B222" s="8" t="n"/>
      <c r="C222" s="8" t="n"/>
      <c r="D222" s="8" t="n"/>
      <c r="E222" s="9" t="n"/>
      <c r="F222" s="8" t="n"/>
      <c r="G222" s="8" t="n"/>
      <c r="H222" s="8" t="n"/>
      <c r="I222" s="8" t="n"/>
      <c r="J222" s="8" t="n"/>
      <c r="K222" s="10">
        <f>IF(OR(F222="",SUMIFS($F:$F,$B:$B,B222,$E:$E,E222)=0),"",IF(SUMIFS($I:$I,$B:$B,B222,$E:$E,E222)&gt;0,N(I222)/SUMIFS($I:$I,$B:$B,B222,$E:$E,E222),F222/SUMIFS($F:$F,$B:$B,B222,$E:$E,E222)))</f>
        <v/>
      </c>
      <c r="L222" s="3">
        <f>IF(K222="","",K222*SUMIFS(Daily!$D:$D,Daily!$B:$B,B222,Daily!$A:$A,E222)+N(J222))</f>
        <v/>
      </c>
      <c r="M222" s="3">
        <f>IF(K222="","",K222*SUMIFS(Daily!$G:$G,Daily!$B:$B,B222,Daily!$A:$A,E222))</f>
        <v/>
      </c>
      <c r="N222" s="3">
        <f>IF(K222="","",K222*SUMIFS(Daily!$H:$H,Daily!$B:$B,B222,Daily!$A:$A,E222))</f>
        <v/>
      </c>
      <c r="O222" s="3">
        <f>IF(OR(M222="",F222=0),"",M222/F222*10000)</f>
        <v/>
      </c>
      <c r="P222" s="8" t="n"/>
      <c r="Q222" s="8" t="n"/>
      <c r="R222" s="6">
        <f>IF(OR(F222="",F222=0),"",N(I222)/F222)</f>
        <v/>
      </c>
      <c r="S222" s="3">
        <f>IF(OR(F222="",F222=0),"",(N(H222)+N(Q222))/F222*1000)</f>
        <v/>
      </c>
    </row>
    <row r="223">
      <c r="A223" s="8" t="n"/>
      <c r="B223" s="8" t="n"/>
      <c r="C223" s="8" t="n"/>
      <c r="D223" s="8" t="n"/>
      <c r="E223" s="9" t="n"/>
      <c r="F223" s="8" t="n"/>
      <c r="G223" s="8" t="n"/>
      <c r="H223" s="8" t="n"/>
      <c r="I223" s="8" t="n"/>
      <c r="J223" s="8" t="n"/>
      <c r="K223" s="10">
        <f>IF(OR(F223="",SUMIFS($F:$F,$B:$B,B223,$E:$E,E223)=0),"",IF(SUMIFS($I:$I,$B:$B,B223,$E:$E,E223)&gt;0,N(I223)/SUMIFS($I:$I,$B:$B,B223,$E:$E,E223),F223/SUMIFS($F:$F,$B:$B,B223,$E:$E,E223)))</f>
        <v/>
      </c>
      <c r="L223" s="3">
        <f>IF(K223="","",K223*SUMIFS(Daily!$D:$D,Daily!$B:$B,B223,Daily!$A:$A,E223)+N(J223))</f>
        <v/>
      </c>
      <c r="M223" s="3">
        <f>IF(K223="","",K223*SUMIFS(Daily!$G:$G,Daily!$B:$B,B223,Daily!$A:$A,E223))</f>
        <v/>
      </c>
      <c r="N223" s="3">
        <f>IF(K223="","",K223*SUMIFS(Daily!$H:$H,Daily!$B:$B,B223,Daily!$A:$A,E223))</f>
        <v/>
      </c>
      <c r="O223" s="3">
        <f>IF(OR(M223="",F223=0),"",M223/F223*10000)</f>
        <v/>
      </c>
      <c r="P223" s="8" t="n"/>
      <c r="Q223" s="8" t="n"/>
      <c r="R223" s="6">
        <f>IF(OR(F223="",F223=0),"",N(I223)/F223)</f>
        <v/>
      </c>
      <c r="S223" s="3">
        <f>IF(OR(F223="",F223=0),"",(N(H223)+N(Q223))/F223*1000)</f>
        <v/>
      </c>
    </row>
    <row r="224">
      <c r="A224" s="8" t="n"/>
      <c r="B224" s="8" t="n"/>
      <c r="C224" s="8" t="n"/>
      <c r="D224" s="8" t="n"/>
      <c r="E224" s="9" t="n"/>
      <c r="F224" s="8" t="n"/>
      <c r="G224" s="8" t="n"/>
      <c r="H224" s="8" t="n"/>
      <c r="I224" s="8" t="n"/>
      <c r="J224" s="8" t="n"/>
      <c r="K224" s="10">
        <f>IF(OR(F224="",SUMIFS($F:$F,$B:$B,B224,$E:$E,E224)=0),"",IF(SUMIFS($I:$I,$B:$B,B224,$E:$E,E224)&gt;0,N(I224)/SUMIFS($I:$I,$B:$B,B224,$E:$E,E224),F224/SUMIFS($F:$F,$B:$B,B224,$E:$E,E224)))</f>
        <v/>
      </c>
      <c r="L224" s="3">
        <f>IF(K224="","",K224*SUMIFS(Daily!$D:$D,Daily!$B:$B,B224,Daily!$A:$A,E224)+N(J224))</f>
        <v/>
      </c>
      <c r="M224" s="3">
        <f>IF(K224="","",K224*SUMIFS(Daily!$G:$G,Daily!$B:$B,B224,Daily!$A:$A,E224))</f>
        <v/>
      </c>
      <c r="N224" s="3">
        <f>IF(K224="","",K224*SUMIFS(Daily!$H:$H,Daily!$B:$B,B224,Daily!$A:$A,E224))</f>
        <v/>
      </c>
      <c r="O224" s="3">
        <f>IF(OR(M224="",F224=0),"",M224/F224*10000)</f>
        <v/>
      </c>
      <c r="P224" s="8" t="n"/>
      <c r="Q224" s="8" t="n"/>
      <c r="R224" s="6">
        <f>IF(OR(F224="",F224=0),"",N(I224)/F224)</f>
        <v/>
      </c>
      <c r="S224" s="3">
        <f>IF(OR(F224="",F224=0),"",(N(H224)+N(Q224))/F224*1000)</f>
        <v/>
      </c>
    </row>
    <row r="225">
      <c r="A225" s="8" t="n"/>
      <c r="B225" s="8" t="n"/>
      <c r="C225" s="8" t="n"/>
      <c r="D225" s="8" t="n"/>
      <c r="E225" s="9" t="n"/>
      <c r="F225" s="8" t="n"/>
      <c r="G225" s="8" t="n"/>
      <c r="H225" s="8" t="n"/>
      <c r="I225" s="8" t="n"/>
      <c r="J225" s="8" t="n"/>
      <c r="K225" s="10">
        <f>IF(OR(F225="",SUMIFS($F:$F,$B:$B,B225,$E:$E,E225)=0),"",IF(SUMIFS($I:$I,$B:$B,B225,$E:$E,E225)&gt;0,N(I225)/SUMIFS($I:$I,$B:$B,B225,$E:$E,E225),F225/SUMIFS($F:$F,$B:$B,B225,$E:$E,E225)))</f>
        <v/>
      </c>
      <c r="L225" s="3">
        <f>IF(K225="","",K225*SUMIFS(Daily!$D:$D,Daily!$B:$B,B225,Daily!$A:$A,E225)+N(J225))</f>
        <v/>
      </c>
      <c r="M225" s="3">
        <f>IF(K225="","",K225*SUMIFS(Daily!$G:$G,Daily!$B:$B,B225,Daily!$A:$A,E225))</f>
        <v/>
      </c>
      <c r="N225" s="3">
        <f>IF(K225="","",K225*SUMIFS(Daily!$H:$H,Daily!$B:$B,B225,Daily!$A:$A,E225))</f>
        <v/>
      </c>
      <c r="O225" s="3">
        <f>IF(OR(M225="",F225=0),"",M225/F225*10000)</f>
        <v/>
      </c>
      <c r="P225" s="8" t="n"/>
      <c r="Q225" s="8" t="n"/>
      <c r="R225" s="6">
        <f>IF(OR(F225="",F225=0),"",N(I225)/F225)</f>
        <v/>
      </c>
      <c r="S225" s="3">
        <f>IF(OR(F225="",F225=0),"",(N(H225)+N(Q225))/F225*1000)</f>
        <v/>
      </c>
    </row>
    <row r="226">
      <c r="A226" s="8" t="n"/>
      <c r="B226" s="8" t="n"/>
      <c r="C226" s="8" t="n"/>
      <c r="D226" s="8" t="n"/>
      <c r="E226" s="9" t="n"/>
      <c r="F226" s="8" t="n"/>
      <c r="G226" s="8" t="n"/>
      <c r="H226" s="8" t="n"/>
      <c r="I226" s="8" t="n"/>
      <c r="J226" s="8" t="n"/>
      <c r="K226" s="10">
        <f>IF(OR(F226="",SUMIFS($F:$F,$B:$B,B226,$E:$E,E226)=0),"",IF(SUMIFS($I:$I,$B:$B,B226,$E:$E,E226)&gt;0,N(I226)/SUMIFS($I:$I,$B:$B,B226,$E:$E,E226),F226/SUMIFS($F:$F,$B:$B,B226,$E:$E,E226)))</f>
        <v/>
      </c>
      <c r="L226" s="3">
        <f>IF(K226="","",K226*SUMIFS(Daily!$D:$D,Daily!$B:$B,B226,Daily!$A:$A,E226)+N(J226))</f>
        <v/>
      </c>
      <c r="M226" s="3">
        <f>IF(K226="","",K226*SUMIFS(Daily!$G:$G,Daily!$B:$B,B226,Daily!$A:$A,E226))</f>
        <v/>
      </c>
      <c r="N226" s="3">
        <f>IF(K226="","",K226*SUMIFS(Daily!$H:$H,Daily!$B:$B,B226,Daily!$A:$A,E226))</f>
        <v/>
      </c>
      <c r="O226" s="3">
        <f>IF(OR(M226="",F226=0),"",M226/F226*10000)</f>
        <v/>
      </c>
      <c r="P226" s="8" t="n"/>
      <c r="Q226" s="8" t="n"/>
      <c r="R226" s="6">
        <f>IF(OR(F226="",F226=0),"",N(I226)/F226)</f>
        <v/>
      </c>
      <c r="S226" s="3">
        <f>IF(OR(F226="",F226=0),"",(N(H226)+N(Q226))/F226*1000)</f>
        <v/>
      </c>
    </row>
    <row r="227">
      <c r="A227" s="8" t="n"/>
      <c r="B227" s="8" t="n"/>
      <c r="C227" s="8" t="n"/>
      <c r="D227" s="8" t="n"/>
      <c r="E227" s="9" t="n"/>
      <c r="F227" s="8" t="n"/>
      <c r="G227" s="8" t="n"/>
      <c r="H227" s="8" t="n"/>
      <c r="I227" s="8" t="n"/>
      <c r="J227" s="8" t="n"/>
      <c r="K227" s="10">
        <f>IF(OR(F227="",SUMIFS($F:$F,$B:$B,B227,$E:$E,E227)=0),"",IF(SUMIFS($I:$I,$B:$B,B227,$E:$E,E227)&gt;0,N(I227)/SUMIFS($I:$I,$B:$B,B227,$E:$E,E227),F227/SUMIFS($F:$F,$B:$B,B227,$E:$E,E227)))</f>
        <v/>
      </c>
      <c r="L227" s="3">
        <f>IF(K227="","",K227*SUMIFS(Daily!$D:$D,Daily!$B:$B,B227,Daily!$A:$A,E227)+N(J227))</f>
        <v/>
      </c>
      <c r="M227" s="3">
        <f>IF(K227="","",K227*SUMIFS(Daily!$G:$G,Daily!$B:$B,B227,Daily!$A:$A,E227))</f>
        <v/>
      </c>
      <c r="N227" s="3">
        <f>IF(K227="","",K227*SUMIFS(Daily!$H:$H,Daily!$B:$B,B227,Daily!$A:$A,E227))</f>
        <v/>
      </c>
      <c r="O227" s="3">
        <f>IF(OR(M227="",F227=0),"",M227/F227*10000)</f>
        <v/>
      </c>
      <c r="P227" s="8" t="n"/>
      <c r="Q227" s="8" t="n"/>
      <c r="R227" s="6">
        <f>IF(OR(F227="",F227=0),"",N(I227)/F227)</f>
        <v/>
      </c>
      <c r="S227" s="3">
        <f>IF(OR(F227="",F227=0),"",(N(H227)+N(Q227))/F227*1000)</f>
        <v/>
      </c>
    </row>
    <row r="228">
      <c r="A228" s="8" t="n"/>
      <c r="B228" s="8" t="n"/>
      <c r="C228" s="8" t="n"/>
      <c r="D228" s="8" t="n"/>
      <c r="E228" s="9" t="n"/>
      <c r="F228" s="8" t="n"/>
      <c r="G228" s="8" t="n"/>
      <c r="H228" s="8" t="n"/>
      <c r="I228" s="8" t="n"/>
      <c r="J228" s="8" t="n"/>
      <c r="K228" s="10">
        <f>IF(OR(F228="",SUMIFS($F:$F,$B:$B,B228,$E:$E,E228)=0),"",IF(SUMIFS($I:$I,$B:$B,B228,$E:$E,E228)&gt;0,N(I228)/SUMIFS($I:$I,$B:$B,B228,$E:$E,E228),F228/SUMIFS($F:$F,$B:$B,B228,$E:$E,E228)))</f>
        <v/>
      </c>
      <c r="L228" s="3">
        <f>IF(K228="","",K228*SUMIFS(Daily!$D:$D,Daily!$B:$B,B228,Daily!$A:$A,E228)+N(J228))</f>
        <v/>
      </c>
      <c r="M228" s="3">
        <f>IF(K228="","",K228*SUMIFS(Daily!$G:$G,Daily!$B:$B,B228,Daily!$A:$A,E228))</f>
        <v/>
      </c>
      <c r="N228" s="3">
        <f>IF(K228="","",K228*SUMIFS(Daily!$H:$H,Daily!$B:$B,B228,Daily!$A:$A,E228))</f>
        <v/>
      </c>
      <c r="O228" s="3">
        <f>IF(OR(M228="",F228=0),"",M228/F228*10000)</f>
        <v/>
      </c>
      <c r="P228" s="8" t="n"/>
      <c r="Q228" s="8" t="n"/>
      <c r="R228" s="6">
        <f>IF(OR(F228="",F228=0),"",N(I228)/F228)</f>
        <v/>
      </c>
      <c r="S228" s="3">
        <f>IF(OR(F228="",F228=0),"",(N(H228)+N(Q228))/F228*1000)</f>
        <v/>
      </c>
    </row>
    <row r="229">
      <c r="A229" s="8" t="n"/>
      <c r="B229" s="8" t="n"/>
      <c r="C229" s="8" t="n"/>
      <c r="D229" s="8" t="n"/>
      <c r="E229" s="9" t="n"/>
      <c r="F229" s="8" t="n"/>
      <c r="G229" s="8" t="n"/>
      <c r="H229" s="8" t="n"/>
      <c r="I229" s="8" t="n"/>
      <c r="J229" s="8" t="n"/>
      <c r="K229" s="10">
        <f>IF(OR(F229="",SUMIFS($F:$F,$B:$B,B229,$E:$E,E229)=0),"",IF(SUMIFS($I:$I,$B:$B,B229,$E:$E,E229)&gt;0,N(I229)/SUMIFS($I:$I,$B:$B,B229,$E:$E,E229),F229/SUMIFS($F:$F,$B:$B,B229,$E:$E,E229)))</f>
        <v/>
      </c>
      <c r="L229" s="3">
        <f>IF(K229="","",K229*SUMIFS(Daily!$D:$D,Daily!$B:$B,B229,Daily!$A:$A,E229)+N(J229))</f>
        <v/>
      </c>
      <c r="M229" s="3">
        <f>IF(K229="","",K229*SUMIFS(Daily!$G:$G,Daily!$B:$B,B229,Daily!$A:$A,E229))</f>
        <v/>
      </c>
      <c r="N229" s="3">
        <f>IF(K229="","",K229*SUMIFS(Daily!$H:$H,Daily!$B:$B,B229,Daily!$A:$A,E229))</f>
        <v/>
      </c>
      <c r="O229" s="3">
        <f>IF(OR(M229="",F229=0),"",M229/F229*10000)</f>
        <v/>
      </c>
      <c r="P229" s="8" t="n"/>
      <c r="Q229" s="8" t="n"/>
      <c r="R229" s="6">
        <f>IF(OR(F229="",F229=0),"",N(I229)/F229)</f>
        <v/>
      </c>
      <c r="S229" s="3">
        <f>IF(OR(F229="",F229=0),"",(N(H229)+N(Q229))/F229*1000)</f>
        <v/>
      </c>
    </row>
    <row r="230">
      <c r="A230" s="8" t="n"/>
      <c r="B230" s="8" t="n"/>
      <c r="C230" s="8" t="n"/>
      <c r="D230" s="8" t="n"/>
      <c r="E230" s="9" t="n"/>
      <c r="F230" s="8" t="n"/>
      <c r="G230" s="8" t="n"/>
      <c r="H230" s="8" t="n"/>
      <c r="I230" s="8" t="n"/>
      <c r="J230" s="8" t="n"/>
      <c r="K230" s="10">
        <f>IF(OR(F230="",SUMIFS($F:$F,$B:$B,B230,$E:$E,E230)=0),"",IF(SUMIFS($I:$I,$B:$B,B230,$E:$E,E230)&gt;0,N(I230)/SUMIFS($I:$I,$B:$B,B230,$E:$E,E230),F230/SUMIFS($F:$F,$B:$B,B230,$E:$E,E230)))</f>
        <v/>
      </c>
      <c r="L230" s="3">
        <f>IF(K230="","",K230*SUMIFS(Daily!$D:$D,Daily!$B:$B,B230,Daily!$A:$A,E230)+N(J230))</f>
        <v/>
      </c>
      <c r="M230" s="3">
        <f>IF(K230="","",K230*SUMIFS(Daily!$G:$G,Daily!$B:$B,B230,Daily!$A:$A,E230))</f>
        <v/>
      </c>
      <c r="N230" s="3">
        <f>IF(K230="","",K230*SUMIFS(Daily!$H:$H,Daily!$B:$B,B230,Daily!$A:$A,E230))</f>
        <v/>
      </c>
      <c r="O230" s="3">
        <f>IF(OR(M230="",F230=0),"",M230/F230*10000)</f>
        <v/>
      </c>
      <c r="P230" s="8" t="n"/>
      <c r="Q230" s="8" t="n"/>
      <c r="R230" s="6">
        <f>IF(OR(F230="",F230=0),"",N(I230)/F230)</f>
        <v/>
      </c>
      <c r="S230" s="3">
        <f>IF(OR(F230="",F230=0),"",(N(H230)+N(Q230))/F230*1000)</f>
        <v/>
      </c>
    </row>
    <row r="231">
      <c r="A231" s="8" t="n"/>
      <c r="B231" s="8" t="n"/>
      <c r="C231" s="8" t="n"/>
      <c r="D231" s="8" t="n"/>
      <c r="E231" s="9" t="n"/>
      <c r="F231" s="8" t="n"/>
      <c r="G231" s="8" t="n"/>
      <c r="H231" s="8" t="n"/>
      <c r="I231" s="8" t="n"/>
      <c r="J231" s="8" t="n"/>
      <c r="K231" s="10">
        <f>IF(OR(F231="",SUMIFS($F:$F,$B:$B,B231,$E:$E,E231)=0),"",IF(SUMIFS($I:$I,$B:$B,B231,$E:$E,E231)&gt;0,N(I231)/SUMIFS($I:$I,$B:$B,B231,$E:$E,E231),F231/SUMIFS($F:$F,$B:$B,B231,$E:$E,E231)))</f>
        <v/>
      </c>
      <c r="L231" s="3">
        <f>IF(K231="","",K231*SUMIFS(Daily!$D:$D,Daily!$B:$B,B231,Daily!$A:$A,E231)+N(J231))</f>
        <v/>
      </c>
      <c r="M231" s="3">
        <f>IF(K231="","",K231*SUMIFS(Daily!$G:$G,Daily!$B:$B,B231,Daily!$A:$A,E231))</f>
        <v/>
      </c>
      <c r="N231" s="3">
        <f>IF(K231="","",K231*SUMIFS(Daily!$H:$H,Daily!$B:$B,B231,Daily!$A:$A,E231))</f>
        <v/>
      </c>
      <c r="O231" s="3">
        <f>IF(OR(M231="",F231=0),"",M231/F231*10000)</f>
        <v/>
      </c>
      <c r="P231" s="8" t="n"/>
      <c r="Q231" s="8" t="n"/>
      <c r="R231" s="6">
        <f>IF(OR(F231="",F231=0),"",N(I231)/F231)</f>
        <v/>
      </c>
      <c r="S231" s="3">
        <f>IF(OR(F231="",F231=0),"",(N(H231)+N(Q231))/F231*1000)</f>
        <v/>
      </c>
    </row>
    <row r="232">
      <c r="A232" s="8" t="n"/>
      <c r="B232" s="8" t="n"/>
      <c r="C232" s="8" t="n"/>
      <c r="D232" s="8" t="n"/>
      <c r="E232" s="9" t="n"/>
      <c r="F232" s="8" t="n"/>
      <c r="G232" s="8" t="n"/>
      <c r="H232" s="8" t="n"/>
      <c r="I232" s="8" t="n"/>
      <c r="J232" s="8" t="n"/>
      <c r="K232" s="10">
        <f>IF(OR(F232="",SUMIFS($F:$F,$B:$B,B232,$E:$E,E232)=0),"",IF(SUMIFS($I:$I,$B:$B,B232,$E:$E,E232)&gt;0,N(I232)/SUMIFS($I:$I,$B:$B,B232,$E:$E,E232),F232/SUMIFS($F:$F,$B:$B,B232,$E:$E,E232)))</f>
        <v/>
      </c>
      <c r="L232" s="3">
        <f>IF(K232="","",K232*SUMIFS(Daily!$D:$D,Daily!$B:$B,B232,Daily!$A:$A,E232)+N(J232))</f>
        <v/>
      </c>
      <c r="M232" s="3">
        <f>IF(K232="","",K232*SUMIFS(Daily!$G:$G,Daily!$B:$B,B232,Daily!$A:$A,E232))</f>
        <v/>
      </c>
      <c r="N232" s="3">
        <f>IF(K232="","",K232*SUMIFS(Daily!$H:$H,Daily!$B:$B,B232,Daily!$A:$A,E232))</f>
        <v/>
      </c>
      <c r="O232" s="3">
        <f>IF(OR(M232="",F232=0),"",M232/F232*10000)</f>
        <v/>
      </c>
      <c r="P232" s="8" t="n"/>
      <c r="Q232" s="8" t="n"/>
      <c r="R232" s="6">
        <f>IF(OR(F232="",F232=0),"",N(I232)/F232)</f>
        <v/>
      </c>
      <c r="S232" s="3">
        <f>IF(OR(F232="",F232=0),"",(N(H232)+N(Q232))/F232*1000)</f>
        <v/>
      </c>
    </row>
    <row r="233">
      <c r="A233" s="8" t="n"/>
      <c r="B233" s="8" t="n"/>
      <c r="C233" s="8" t="n"/>
      <c r="D233" s="8" t="n"/>
      <c r="E233" s="9" t="n"/>
      <c r="F233" s="8" t="n"/>
      <c r="G233" s="8" t="n"/>
      <c r="H233" s="8" t="n"/>
      <c r="I233" s="8" t="n"/>
      <c r="J233" s="8" t="n"/>
      <c r="K233" s="10">
        <f>IF(OR(F233="",SUMIFS($F:$F,$B:$B,B233,$E:$E,E233)=0),"",IF(SUMIFS($I:$I,$B:$B,B233,$E:$E,E233)&gt;0,N(I233)/SUMIFS($I:$I,$B:$B,B233,$E:$E,E233),F233/SUMIFS($F:$F,$B:$B,B233,$E:$E,E233)))</f>
        <v/>
      </c>
      <c r="L233" s="3">
        <f>IF(K233="","",K233*SUMIFS(Daily!$D:$D,Daily!$B:$B,B233,Daily!$A:$A,E233)+N(J233))</f>
        <v/>
      </c>
      <c r="M233" s="3">
        <f>IF(K233="","",K233*SUMIFS(Daily!$G:$G,Daily!$B:$B,B233,Daily!$A:$A,E233))</f>
        <v/>
      </c>
      <c r="N233" s="3">
        <f>IF(K233="","",K233*SUMIFS(Daily!$H:$H,Daily!$B:$B,B233,Daily!$A:$A,E233))</f>
        <v/>
      </c>
      <c r="O233" s="3">
        <f>IF(OR(M233="",F233=0),"",M233/F233*10000)</f>
        <v/>
      </c>
      <c r="P233" s="8" t="n"/>
      <c r="Q233" s="8" t="n"/>
      <c r="R233" s="6">
        <f>IF(OR(F233="",F233=0),"",N(I233)/F233)</f>
        <v/>
      </c>
      <c r="S233" s="3">
        <f>IF(OR(F233="",F233=0),"",(N(H233)+N(Q233))/F233*1000)</f>
        <v/>
      </c>
    </row>
    <row r="234">
      <c r="A234" s="8" t="n"/>
      <c r="B234" s="8" t="n"/>
      <c r="C234" s="8" t="n"/>
      <c r="D234" s="8" t="n"/>
      <c r="E234" s="9" t="n"/>
      <c r="F234" s="8" t="n"/>
      <c r="G234" s="8" t="n"/>
      <c r="H234" s="8" t="n"/>
      <c r="I234" s="8" t="n"/>
      <c r="J234" s="8" t="n"/>
      <c r="K234" s="10">
        <f>IF(OR(F234="",SUMIFS($F:$F,$B:$B,B234,$E:$E,E234)=0),"",IF(SUMIFS($I:$I,$B:$B,B234,$E:$E,E234)&gt;0,N(I234)/SUMIFS($I:$I,$B:$B,B234,$E:$E,E234),F234/SUMIFS($F:$F,$B:$B,B234,$E:$E,E234)))</f>
        <v/>
      </c>
      <c r="L234" s="3">
        <f>IF(K234="","",K234*SUMIFS(Daily!$D:$D,Daily!$B:$B,B234,Daily!$A:$A,E234)+N(J234))</f>
        <v/>
      </c>
      <c r="M234" s="3">
        <f>IF(K234="","",K234*SUMIFS(Daily!$G:$G,Daily!$B:$B,B234,Daily!$A:$A,E234))</f>
        <v/>
      </c>
      <c r="N234" s="3">
        <f>IF(K234="","",K234*SUMIFS(Daily!$H:$H,Daily!$B:$B,B234,Daily!$A:$A,E234))</f>
        <v/>
      </c>
      <c r="O234" s="3">
        <f>IF(OR(M234="",F234=0),"",M234/F234*10000)</f>
        <v/>
      </c>
      <c r="P234" s="8" t="n"/>
      <c r="Q234" s="8" t="n"/>
      <c r="R234" s="6">
        <f>IF(OR(F234="",F234=0),"",N(I234)/F234)</f>
        <v/>
      </c>
      <c r="S234" s="3">
        <f>IF(OR(F234="",F234=0),"",(N(H234)+N(Q234))/F234*1000)</f>
        <v/>
      </c>
    </row>
    <row r="235">
      <c r="A235" s="8" t="n"/>
      <c r="B235" s="8" t="n"/>
      <c r="C235" s="8" t="n"/>
      <c r="D235" s="8" t="n"/>
      <c r="E235" s="9" t="n"/>
      <c r="F235" s="8" t="n"/>
      <c r="G235" s="8" t="n"/>
      <c r="H235" s="8" t="n"/>
      <c r="I235" s="8" t="n"/>
      <c r="J235" s="8" t="n"/>
      <c r="K235" s="10">
        <f>IF(OR(F235="",SUMIFS($F:$F,$B:$B,B235,$E:$E,E235)=0),"",IF(SUMIFS($I:$I,$B:$B,B235,$E:$E,E235)&gt;0,N(I235)/SUMIFS($I:$I,$B:$B,B235,$E:$E,E235),F235/SUMIFS($F:$F,$B:$B,B235,$E:$E,E235)))</f>
        <v/>
      </c>
      <c r="L235" s="3">
        <f>IF(K235="","",K235*SUMIFS(Daily!$D:$D,Daily!$B:$B,B235,Daily!$A:$A,E235)+N(J235))</f>
        <v/>
      </c>
      <c r="M235" s="3">
        <f>IF(K235="","",K235*SUMIFS(Daily!$G:$G,Daily!$B:$B,B235,Daily!$A:$A,E235))</f>
        <v/>
      </c>
      <c r="N235" s="3">
        <f>IF(K235="","",K235*SUMIFS(Daily!$H:$H,Daily!$B:$B,B235,Daily!$A:$A,E235))</f>
        <v/>
      </c>
      <c r="O235" s="3">
        <f>IF(OR(M235="",F235=0),"",M235/F235*10000)</f>
        <v/>
      </c>
      <c r="P235" s="8" t="n"/>
      <c r="Q235" s="8" t="n"/>
      <c r="R235" s="6">
        <f>IF(OR(F235="",F235=0),"",N(I235)/F235)</f>
        <v/>
      </c>
      <c r="S235" s="3">
        <f>IF(OR(F235="",F235=0),"",(N(H235)+N(Q235))/F235*1000)</f>
        <v/>
      </c>
    </row>
    <row r="236">
      <c r="A236" s="8" t="n"/>
      <c r="B236" s="8" t="n"/>
      <c r="C236" s="8" t="n"/>
      <c r="D236" s="8" t="n"/>
      <c r="E236" s="9" t="n"/>
      <c r="F236" s="8" t="n"/>
      <c r="G236" s="8" t="n"/>
      <c r="H236" s="8" t="n"/>
      <c r="I236" s="8" t="n"/>
      <c r="J236" s="8" t="n"/>
      <c r="K236" s="10">
        <f>IF(OR(F236="",SUMIFS($F:$F,$B:$B,B236,$E:$E,E236)=0),"",IF(SUMIFS($I:$I,$B:$B,B236,$E:$E,E236)&gt;0,N(I236)/SUMIFS($I:$I,$B:$B,B236,$E:$E,E236),F236/SUMIFS($F:$F,$B:$B,B236,$E:$E,E236)))</f>
        <v/>
      </c>
      <c r="L236" s="3">
        <f>IF(K236="","",K236*SUMIFS(Daily!$D:$D,Daily!$B:$B,B236,Daily!$A:$A,E236)+N(J236))</f>
        <v/>
      </c>
      <c r="M236" s="3">
        <f>IF(K236="","",K236*SUMIFS(Daily!$G:$G,Daily!$B:$B,B236,Daily!$A:$A,E236))</f>
        <v/>
      </c>
      <c r="N236" s="3">
        <f>IF(K236="","",K236*SUMIFS(Daily!$H:$H,Daily!$B:$B,B236,Daily!$A:$A,E236))</f>
        <v/>
      </c>
      <c r="O236" s="3">
        <f>IF(OR(M236="",F236=0),"",M236/F236*10000)</f>
        <v/>
      </c>
      <c r="P236" s="8" t="n"/>
      <c r="Q236" s="8" t="n"/>
      <c r="R236" s="6">
        <f>IF(OR(F236="",F236=0),"",N(I236)/F236)</f>
        <v/>
      </c>
      <c r="S236" s="3">
        <f>IF(OR(F236="",F236=0),"",(N(H236)+N(Q236))/F236*1000)</f>
        <v/>
      </c>
    </row>
    <row r="237">
      <c r="A237" s="8" t="n"/>
      <c r="B237" s="8" t="n"/>
      <c r="C237" s="8" t="n"/>
      <c r="D237" s="8" t="n"/>
      <c r="E237" s="9" t="n"/>
      <c r="F237" s="8" t="n"/>
      <c r="G237" s="8" t="n"/>
      <c r="H237" s="8" t="n"/>
      <c r="I237" s="8" t="n"/>
      <c r="J237" s="8" t="n"/>
      <c r="K237" s="10">
        <f>IF(OR(F237="",SUMIFS($F:$F,$B:$B,B237,$E:$E,E237)=0),"",IF(SUMIFS($I:$I,$B:$B,B237,$E:$E,E237)&gt;0,N(I237)/SUMIFS($I:$I,$B:$B,B237,$E:$E,E237),F237/SUMIFS($F:$F,$B:$B,B237,$E:$E,E237)))</f>
        <v/>
      </c>
      <c r="L237" s="3">
        <f>IF(K237="","",K237*SUMIFS(Daily!$D:$D,Daily!$B:$B,B237,Daily!$A:$A,E237)+N(J237))</f>
        <v/>
      </c>
      <c r="M237" s="3">
        <f>IF(K237="","",K237*SUMIFS(Daily!$G:$G,Daily!$B:$B,B237,Daily!$A:$A,E237))</f>
        <v/>
      </c>
      <c r="N237" s="3">
        <f>IF(K237="","",K237*SUMIFS(Daily!$H:$H,Daily!$B:$B,B237,Daily!$A:$A,E237))</f>
        <v/>
      </c>
      <c r="O237" s="3">
        <f>IF(OR(M237="",F237=0),"",M237/F237*10000)</f>
        <v/>
      </c>
      <c r="P237" s="8" t="n"/>
      <c r="Q237" s="8" t="n"/>
      <c r="R237" s="6">
        <f>IF(OR(F237="",F237=0),"",N(I237)/F237)</f>
        <v/>
      </c>
      <c r="S237" s="3">
        <f>IF(OR(F237="",F237=0),"",(N(H237)+N(Q237))/F237*1000)</f>
        <v/>
      </c>
    </row>
    <row r="238">
      <c r="A238" s="8" t="n"/>
      <c r="B238" s="8" t="n"/>
      <c r="C238" s="8" t="n"/>
      <c r="D238" s="8" t="n"/>
      <c r="E238" s="9" t="n"/>
      <c r="F238" s="8" t="n"/>
      <c r="G238" s="8" t="n"/>
      <c r="H238" s="8" t="n"/>
      <c r="I238" s="8" t="n"/>
      <c r="J238" s="8" t="n"/>
      <c r="K238" s="10">
        <f>IF(OR(F238="",SUMIFS($F:$F,$B:$B,B238,$E:$E,E238)=0),"",IF(SUMIFS($I:$I,$B:$B,B238,$E:$E,E238)&gt;0,N(I238)/SUMIFS($I:$I,$B:$B,B238,$E:$E,E238),F238/SUMIFS($F:$F,$B:$B,B238,$E:$E,E238)))</f>
        <v/>
      </c>
      <c r="L238" s="3">
        <f>IF(K238="","",K238*SUMIFS(Daily!$D:$D,Daily!$B:$B,B238,Daily!$A:$A,E238)+N(J238))</f>
        <v/>
      </c>
      <c r="M238" s="3">
        <f>IF(K238="","",K238*SUMIFS(Daily!$G:$G,Daily!$B:$B,B238,Daily!$A:$A,E238))</f>
        <v/>
      </c>
      <c r="N238" s="3">
        <f>IF(K238="","",K238*SUMIFS(Daily!$H:$H,Daily!$B:$B,B238,Daily!$A:$A,E238))</f>
        <v/>
      </c>
      <c r="O238" s="3">
        <f>IF(OR(M238="",F238=0),"",M238/F238*10000)</f>
        <v/>
      </c>
      <c r="P238" s="8" t="n"/>
      <c r="Q238" s="8" t="n"/>
      <c r="R238" s="6">
        <f>IF(OR(F238="",F238=0),"",N(I238)/F238)</f>
        <v/>
      </c>
      <c r="S238" s="3">
        <f>IF(OR(F238="",F238=0),"",(N(H238)+N(Q238))/F238*1000)</f>
        <v/>
      </c>
    </row>
    <row r="239">
      <c r="A239" s="8" t="n"/>
      <c r="B239" s="8" t="n"/>
      <c r="C239" s="8" t="n"/>
      <c r="D239" s="8" t="n"/>
      <c r="E239" s="9" t="n"/>
      <c r="F239" s="8" t="n"/>
      <c r="G239" s="8" t="n"/>
      <c r="H239" s="8" t="n"/>
      <c r="I239" s="8" t="n"/>
      <c r="J239" s="8" t="n"/>
      <c r="K239" s="10">
        <f>IF(OR(F239="",SUMIFS($F:$F,$B:$B,B239,$E:$E,E239)=0),"",IF(SUMIFS($I:$I,$B:$B,B239,$E:$E,E239)&gt;0,N(I239)/SUMIFS($I:$I,$B:$B,B239,$E:$E,E239),F239/SUMIFS($F:$F,$B:$B,B239,$E:$E,E239)))</f>
        <v/>
      </c>
      <c r="L239" s="3">
        <f>IF(K239="","",K239*SUMIFS(Daily!$D:$D,Daily!$B:$B,B239,Daily!$A:$A,E239)+N(J239))</f>
        <v/>
      </c>
      <c r="M239" s="3">
        <f>IF(K239="","",K239*SUMIFS(Daily!$G:$G,Daily!$B:$B,B239,Daily!$A:$A,E239))</f>
        <v/>
      </c>
      <c r="N239" s="3">
        <f>IF(K239="","",K239*SUMIFS(Daily!$H:$H,Daily!$B:$B,B239,Daily!$A:$A,E239))</f>
        <v/>
      </c>
      <c r="O239" s="3">
        <f>IF(OR(M239="",F239=0),"",M239/F239*10000)</f>
        <v/>
      </c>
      <c r="P239" s="8" t="n"/>
      <c r="Q239" s="8" t="n"/>
      <c r="R239" s="6">
        <f>IF(OR(F239="",F239=0),"",N(I239)/F239)</f>
        <v/>
      </c>
      <c r="S239" s="3">
        <f>IF(OR(F239="",F239=0),"",(N(H239)+N(Q239))/F239*1000)</f>
        <v/>
      </c>
    </row>
    <row r="240">
      <c r="A240" s="8" t="n"/>
      <c r="B240" s="8" t="n"/>
      <c r="C240" s="8" t="n"/>
      <c r="D240" s="8" t="n"/>
      <c r="E240" s="9" t="n"/>
      <c r="F240" s="8" t="n"/>
      <c r="G240" s="8" t="n"/>
      <c r="H240" s="8" t="n"/>
      <c r="I240" s="8" t="n"/>
      <c r="J240" s="8" t="n"/>
      <c r="K240" s="10">
        <f>IF(OR(F240="",SUMIFS($F:$F,$B:$B,B240,$E:$E,E240)=0),"",IF(SUMIFS($I:$I,$B:$B,B240,$E:$E,E240)&gt;0,N(I240)/SUMIFS($I:$I,$B:$B,B240,$E:$E,E240),F240/SUMIFS($F:$F,$B:$B,B240,$E:$E,E240)))</f>
        <v/>
      </c>
      <c r="L240" s="3">
        <f>IF(K240="","",K240*SUMIFS(Daily!$D:$D,Daily!$B:$B,B240,Daily!$A:$A,E240)+N(J240))</f>
        <v/>
      </c>
      <c r="M240" s="3">
        <f>IF(K240="","",K240*SUMIFS(Daily!$G:$G,Daily!$B:$B,B240,Daily!$A:$A,E240))</f>
        <v/>
      </c>
      <c r="N240" s="3">
        <f>IF(K240="","",K240*SUMIFS(Daily!$H:$H,Daily!$B:$B,B240,Daily!$A:$A,E240))</f>
        <v/>
      </c>
      <c r="O240" s="3">
        <f>IF(OR(M240="",F240=0),"",M240/F240*10000)</f>
        <v/>
      </c>
      <c r="P240" s="8" t="n"/>
      <c r="Q240" s="8" t="n"/>
      <c r="R240" s="6">
        <f>IF(OR(F240="",F240=0),"",N(I240)/F240)</f>
        <v/>
      </c>
      <c r="S240" s="3">
        <f>IF(OR(F240="",F240=0),"",(N(H240)+N(Q240))/F240*1000)</f>
        <v/>
      </c>
    </row>
    <row r="241">
      <c r="A241" s="8" t="n"/>
      <c r="B241" s="8" t="n"/>
      <c r="C241" s="8" t="n"/>
      <c r="D241" s="8" t="n"/>
      <c r="E241" s="9" t="n"/>
      <c r="F241" s="8" t="n"/>
      <c r="G241" s="8" t="n"/>
      <c r="H241" s="8" t="n"/>
      <c r="I241" s="8" t="n"/>
      <c r="J241" s="8" t="n"/>
      <c r="K241" s="10">
        <f>IF(OR(F241="",SUMIFS($F:$F,$B:$B,B241,$E:$E,E241)=0),"",IF(SUMIFS($I:$I,$B:$B,B241,$E:$E,E241)&gt;0,N(I241)/SUMIFS($I:$I,$B:$B,B241,$E:$E,E241),F241/SUMIFS($F:$F,$B:$B,B241,$E:$E,E241)))</f>
        <v/>
      </c>
      <c r="L241" s="3">
        <f>IF(K241="","",K241*SUMIFS(Daily!$D:$D,Daily!$B:$B,B241,Daily!$A:$A,E241)+N(J241))</f>
        <v/>
      </c>
      <c r="M241" s="3">
        <f>IF(K241="","",K241*SUMIFS(Daily!$G:$G,Daily!$B:$B,B241,Daily!$A:$A,E241))</f>
        <v/>
      </c>
      <c r="N241" s="3">
        <f>IF(K241="","",K241*SUMIFS(Daily!$H:$H,Daily!$B:$B,B241,Daily!$A:$A,E241))</f>
        <v/>
      </c>
      <c r="O241" s="3">
        <f>IF(OR(M241="",F241=0),"",M241/F241*10000)</f>
        <v/>
      </c>
      <c r="P241" s="8" t="n"/>
      <c r="Q241" s="8" t="n"/>
      <c r="R241" s="6">
        <f>IF(OR(F241="",F241=0),"",N(I241)/F241)</f>
        <v/>
      </c>
      <c r="S241" s="3">
        <f>IF(OR(F241="",F241=0),"",(N(H241)+N(Q241))/F241*1000)</f>
        <v/>
      </c>
    </row>
    <row r="242">
      <c r="A242" s="8" t="n"/>
      <c r="B242" s="8" t="n"/>
      <c r="C242" s="8" t="n"/>
      <c r="D242" s="8" t="n"/>
      <c r="E242" s="9" t="n"/>
      <c r="F242" s="8" t="n"/>
      <c r="G242" s="8" t="n"/>
      <c r="H242" s="8" t="n"/>
      <c r="I242" s="8" t="n"/>
      <c r="J242" s="8" t="n"/>
      <c r="K242" s="10">
        <f>IF(OR(F242="",SUMIFS($F:$F,$B:$B,B242,$E:$E,E242)=0),"",IF(SUMIFS($I:$I,$B:$B,B242,$E:$E,E242)&gt;0,N(I242)/SUMIFS($I:$I,$B:$B,B242,$E:$E,E242),F242/SUMIFS($F:$F,$B:$B,B242,$E:$E,E242)))</f>
        <v/>
      </c>
      <c r="L242" s="3">
        <f>IF(K242="","",K242*SUMIFS(Daily!$D:$D,Daily!$B:$B,B242,Daily!$A:$A,E242)+N(J242))</f>
        <v/>
      </c>
      <c r="M242" s="3">
        <f>IF(K242="","",K242*SUMIFS(Daily!$G:$G,Daily!$B:$B,B242,Daily!$A:$A,E242))</f>
        <v/>
      </c>
      <c r="N242" s="3">
        <f>IF(K242="","",K242*SUMIFS(Daily!$H:$H,Daily!$B:$B,B242,Daily!$A:$A,E242))</f>
        <v/>
      </c>
      <c r="O242" s="3">
        <f>IF(OR(M242="",F242=0),"",M242/F242*10000)</f>
        <v/>
      </c>
      <c r="P242" s="8" t="n"/>
      <c r="Q242" s="8" t="n"/>
      <c r="R242" s="6">
        <f>IF(OR(F242="",F242=0),"",N(I242)/F242)</f>
        <v/>
      </c>
      <c r="S242" s="3">
        <f>IF(OR(F242="",F242=0),"",(N(H242)+N(Q242))/F242*1000)</f>
        <v/>
      </c>
    </row>
    <row r="243">
      <c r="A243" s="8" t="n"/>
      <c r="B243" s="8" t="n"/>
      <c r="C243" s="8" t="n"/>
      <c r="D243" s="8" t="n"/>
      <c r="E243" s="9" t="n"/>
      <c r="F243" s="8" t="n"/>
      <c r="G243" s="8" t="n"/>
      <c r="H243" s="8" t="n"/>
      <c r="I243" s="8" t="n"/>
      <c r="J243" s="8" t="n"/>
      <c r="K243" s="10">
        <f>IF(OR(F243="",SUMIFS($F:$F,$B:$B,B243,$E:$E,E243)=0),"",IF(SUMIFS($I:$I,$B:$B,B243,$E:$E,E243)&gt;0,N(I243)/SUMIFS($I:$I,$B:$B,B243,$E:$E,E243),F243/SUMIFS($F:$F,$B:$B,B243,$E:$E,E243)))</f>
        <v/>
      </c>
      <c r="L243" s="3">
        <f>IF(K243="","",K243*SUMIFS(Daily!$D:$D,Daily!$B:$B,B243,Daily!$A:$A,E243)+N(J243))</f>
        <v/>
      </c>
      <c r="M243" s="3">
        <f>IF(K243="","",K243*SUMIFS(Daily!$G:$G,Daily!$B:$B,B243,Daily!$A:$A,E243))</f>
        <v/>
      </c>
      <c r="N243" s="3">
        <f>IF(K243="","",K243*SUMIFS(Daily!$H:$H,Daily!$B:$B,B243,Daily!$A:$A,E243))</f>
        <v/>
      </c>
      <c r="O243" s="3">
        <f>IF(OR(M243="",F243=0),"",M243/F243*10000)</f>
        <v/>
      </c>
      <c r="P243" s="8" t="n"/>
      <c r="Q243" s="8" t="n"/>
      <c r="R243" s="6">
        <f>IF(OR(F243="",F243=0),"",N(I243)/F243)</f>
        <v/>
      </c>
      <c r="S243" s="3">
        <f>IF(OR(F243="",F243=0),"",(N(H243)+N(Q243))/F243*1000)</f>
        <v/>
      </c>
    </row>
    <row r="244">
      <c r="A244" s="8" t="n"/>
      <c r="B244" s="8" t="n"/>
      <c r="C244" s="8" t="n"/>
      <c r="D244" s="8" t="n"/>
      <c r="E244" s="9" t="n"/>
      <c r="F244" s="8" t="n"/>
      <c r="G244" s="8" t="n"/>
      <c r="H244" s="8" t="n"/>
      <c r="I244" s="8" t="n"/>
      <c r="J244" s="8" t="n"/>
      <c r="K244" s="10">
        <f>IF(OR(F244="",SUMIFS($F:$F,$B:$B,B244,$E:$E,E244)=0),"",IF(SUMIFS($I:$I,$B:$B,B244,$E:$E,E244)&gt;0,N(I244)/SUMIFS($I:$I,$B:$B,B244,$E:$E,E244),F244/SUMIFS($F:$F,$B:$B,B244,$E:$E,E244)))</f>
        <v/>
      </c>
      <c r="L244" s="3">
        <f>IF(K244="","",K244*SUMIFS(Daily!$D:$D,Daily!$B:$B,B244,Daily!$A:$A,E244)+N(J244))</f>
        <v/>
      </c>
      <c r="M244" s="3">
        <f>IF(K244="","",K244*SUMIFS(Daily!$G:$G,Daily!$B:$B,B244,Daily!$A:$A,E244))</f>
        <v/>
      </c>
      <c r="N244" s="3">
        <f>IF(K244="","",K244*SUMIFS(Daily!$H:$H,Daily!$B:$B,B244,Daily!$A:$A,E244))</f>
        <v/>
      </c>
      <c r="O244" s="3">
        <f>IF(OR(M244="",F244=0),"",M244/F244*10000)</f>
        <v/>
      </c>
      <c r="P244" s="8" t="n"/>
      <c r="Q244" s="8" t="n"/>
      <c r="R244" s="6">
        <f>IF(OR(F244="",F244=0),"",N(I244)/F244)</f>
        <v/>
      </c>
      <c r="S244" s="3">
        <f>IF(OR(F244="",F244=0),"",(N(H244)+N(Q244))/F244*1000)</f>
        <v/>
      </c>
    </row>
    <row r="245">
      <c r="A245" s="8" t="n"/>
      <c r="B245" s="8" t="n"/>
      <c r="C245" s="8" t="n"/>
      <c r="D245" s="8" t="n"/>
      <c r="E245" s="9" t="n"/>
      <c r="F245" s="8" t="n"/>
      <c r="G245" s="8" t="n"/>
      <c r="H245" s="8" t="n"/>
      <c r="I245" s="8" t="n"/>
      <c r="J245" s="8" t="n"/>
      <c r="K245" s="10">
        <f>IF(OR(F245="",SUMIFS($F:$F,$B:$B,B245,$E:$E,E245)=0),"",IF(SUMIFS($I:$I,$B:$B,B245,$E:$E,E245)&gt;0,N(I245)/SUMIFS($I:$I,$B:$B,B245,$E:$E,E245),F245/SUMIFS($F:$F,$B:$B,B245,$E:$E,E245)))</f>
        <v/>
      </c>
      <c r="L245" s="3">
        <f>IF(K245="","",K245*SUMIFS(Daily!$D:$D,Daily!$B:$B,B245,Daily!$A:$A,E245)+N(J245))</f>
        <v/>
      </c>
      <c r="M245" s="3">
        <f>IF(K245="","",K245*SUMIFS(Daily!$G:$G,Daily!$B:$B,B245,Daily!$A:$A,E245))</f>
        <v/>
      </c>
      <c r="N245" s="3">
        <f>IF(K245="","",K245*SUMIFS(Daily!$H:$H,Daily!$B:$B,B245,Daily!$A:$A,E245))</f>
        <v/>
      </c>
      <c r="O245" s="3">
        <f>IF(OR(M245="",F245=0),"",M245/F245*10000)</f>
        <v/>
      </c>
      <c r="P245" s="8" t="n"/>
      <c r="Q245" s="8" t="n"/>
      <c r="R245" s="6">
        <f>IF(OR(F245="",F245=0),"",N(I245)/F245)</f>
        <v/>
      </c>
      <c r="S245" s="3">
        <f>IF(OR(F245="",F245=0),"",(N(H245)+N(Q245))/F245*1000)</f>
        <v/>
      </c>
    </row>
    <row r="246">
      <c r="A246" s="8" t="n"/>
      <c r="B246" s="8" t="n"/>
      <c r="C246" s="8" t="n"/>
      <c r="D246" s="8" t="n"/>
      <c r="E246" s="9" t="n"/>
      <c r="F246" s="8" t="n"/>
      <c r="G246" s="8" t="n"/>
      <c r="H246" s="8" t="n"/>
      <c r="I246" s="8" t="n"/>
      <c r="J246" s="8" t="n"/>
      <c r="K246" s="10">
        <f>IF(OR(F246="",SUMIFS($F:$F,$B:$B,B246,$E:$E,E246)=0),"",IF(SUMIFS($I:$I,$B:$B,B246,$E:$E,E246)&gt;0,N(I246)/SUMIFS($I:$I,$B:$B,B246,$E:$E,E246),F246/SUMIFS($F:$F,$B:$B,B246,$E:$E,E246)))</f>
        <v/>
      </c>
      <c r="L246" s="3">
        <f>IF(K246="","",K246*SUMIFS(Daily!$D:$D,Daily!$B:$B,B246,Daily!$A:$A,E246)+N(J246))</f>
        <v/>
      </c>
      <c r="M246" s="3">
        <f>IF(K246="","",K246*SUMIFS(Daily!$G:$G,Daily!$B:$B,B246,Daily!$A:$A,E246))</f>
        <v/>
      </c>
      <c r="N246" s="3">
        <f>IF(K246="","",K246*SUMIFS(Daily!$H:$H,Daily!$B:$B,B246,Daily!$A:$A,E246))</f>
        <v/>
      </c>
      <c r="O246" s="3">
        <f>IF(OR(M246="",F246=0),"",M246/F246*10000)</f>
        <v/>
      </c>
      <c r="P246" s="8" t="n"/>
      <c r="Q246" s="8" t="n"/>
      <c r="R246" s="6">
        <f>IF(OR(F246="",F246=0),"",N(I246)/F246)</f>
        <v/>
      </c>
      <c r="S246" s="3">
        <f>IF(OR(F246="",F246=0),"",(N(H246)+N(Q246))/F246*1000)</f>
        <v/>
      </c>
    </row>
    <row r="247">
      <c r="A247" s="8" t="n"/>
      <c r="B247" s="8" t="n"/>
      <c r="C247" s="8" t="n"/>
      <c r="D247" s="8" t="n"/>
      <c r="E247" s="9" t="n"/>
      <c r="F247" s="8" t="n"/>
      <c r="G247" s="8" t="n"/>
      <c r="H247" s="8" t="n"/>
      <c r="I247" s="8" t="n"/>
      <c r="J247" s="8" t="n"/>
      <c r="K247" s="10">
        <f>IF(OR(F247="",SUMIFS($F:$F,$B:$B,B247,$E:$E,E247)=0),"",IF(SUMIFS($I:$I,$B:$B,B247,$E:$E,E247)&gt;0,N(I247)/SUMIFS($I:$I,$B:$B,B247,$E:$E,E247),F247/SUMIFS($F:$F,$B:$B,B247,$E:$E,E247)))</f>
        <v/>
      </c>
      <c r="L247" s="3">
        <f>IF(K247="","",K247*SUMIFS(Daily!$D:$D,Daily!$B:$B,B247,Daily!$A:$A,E247)+N(J247))</f>
        <v/>
      </c>
      <c r="M247" s="3">
        <f>IF(K247="","",K247*SUMIFS(Daily!$G:$G,Daily!$B:$B,B247,Daily!$A:$A,E247))</f>
        <v/>
      </c>
      <c r="N247" s="3">
        <f>IF(K247="","",K247*SUMIFS(Daily!$H:$H,Daily!$B:$B,B247,Daily!$A:$A,E247))</f>
        <v/>
      </c>
      <c r="O247" s="3">
        <f>IF(OR(M247="",F247=0),"",M247/F247*10000)</f>
        <v/>
      </c>
      <c r="P247" s="8" t="n"/>
      <c r="Q247" s="8" t="n"/>
      <c r="R247" s="6">
        <f>IF(OR(F247="",F247=0),"",N(I247)/F247)</f>
        <v/>
      </c>
      <c r="S247" s="3">
        <f>IF(OR(F247="",F247=0),"",(N(H247)+N(Q247))/F247*1000)</f>
        <v/>
      </c>
    </row>
    <row r="248">
      <c r="A248" s="8" t="n"/>
      <c r="B248" s="8" t="n"/>
      <c r="C248" s="8" t="n"/>
      <c r="D248" s="8" t="n"/>
      <c r="E248" s="9" t="n"/>
      <c r="F248" s="8" t="n"/>
      <c r="G248" s="8" t="n"/>
      <c r="H248" s="8" t="n"/>
      <c r="I248" s="8" t="n"/>
      <c r="J248" s="8" t="n"/>
      <c r="K248" s="10">
        <f>IF(OR(F248="",SUMIFS($F:$F,$B:$B,B248,$E:$E,E248)=0),"",IF(SUMIFS($I:$I,$B:$B,B248,$E:$E,E248)&gt;0,N(I248)/SUMIFS($I:$I,$B:$B,B248,$E:$E,E248),F248/SUMIFS($F:$F,$B:$B,B248,$E:$E,E248)))</f>
        <v/>
      </c>
      <c r="L248" s="3">
        <f>IF(K248="","",K248*SUMIFS(Daily!$D:$D,Daily!$B:$B,B248,Daily!$A:$A,E248)+N(J248))</f>
        <v/>
      </c>
      <c r="M248" s="3">
        <f>IF(K248="","",K248*SUMIFS(Daily!$G:$G,Daily!$B:$B,B248,Daily!$A:$A,E248))</f>
        <v/>
      </c>
      <c r="N248" s="3">
        <f>IF(K248="","",K248*SUMIFS(Daily!$H:$H,Daily!$B:$B,B248,Daily!$A:$A,E248))</f>
        <v/>
      </c>
      <c r="O248" s="3">
        <f>IF(OR(M248="",F248=0),"",M248/F248*10000)</f>
        <v/>
      </c>
      <c r="P248" s="8" t="n"/>
      <c r="Q248" s="8" t="n"/>
      <c r="R248" s="6">
        <f>IF(OR(F248="",F248=0),"",N(I248)/F248)</f>
        <v/>
      </c>
      <c r="S248" s="3">
        <f>IF(OR(F248="",F248=0),"",(N(H248)+N(Q248))/F248*1000)</f>
        <v/>
      </c>
    </row>
    <row r="249">
      <c r="A249" s="8" t="n"/>
      <c r="B249" s="8" t="n"/>
      <c r="C249" s="8" t="n"/>
      <c r="D249" s="8" t="n"/>
      <c r="E249" s="9" t="n"/>
      <c r="F249" s="8" t="n"/>
      <c r="G249" s="8" t="n"/>
      <c r="H249" s="8" t="n"/>
      <c r="I249" s="8" t="n"/>
      <c r="J249" s="8" t="n"/>
      <c r="K249" s="10">
        <f>IF(OR(F249="",SUMIFS($F:$F,$B:$B,B249,$E:$E,E249)=0),"",IF(SUMIFS($I:$I,$B:$B,B249,$E:$E,E249)&gt;0,N(I249)/SUMIFS($I:$I,$B:$B,B249,$E:$E,E249),F249/SUMIFS($F:$F,$B:$B,B249,$E:$E,E249)))</f>
        <v/>
      </c>
      <c r="L249" s="3">
        <f>IF(K249="","",K249*SUMIFS(Daily!$D:$D,Daily!$B:$B,B249,Daily!$A:$A,E249)+N(J249))</f>
        <v/>
      </c>
      <c r="M249" s="3">
        <f>IF(K249="","",K249*SUMIFS(Daily!$G:$G,Daily!$B:$B,B249,Daily!$A:$A,E249))</f>
        <v/>
      </c>
      <c r="N249" s="3">
        <f>IF(K249="","",K249*SUMIFS(Daily!$H:$H,Daily!$B:$B,B249,Daily!$A:$A,E249))</f>
        <v/>
      </c>
      <c r="O249" s="3">
        <f>IF(OR(M249="",F249=0),"",M249/F249*10000)</f>
        <v/>
      </c>
      <c r="P249" s="8" t="n"/>
      <c r="Q249" s="8" t="n"/>
      <c r="R249" s="6">
        <f>IF(OR(F249="",F249=0),"",N(I249)/F249)</f>
        <v/>
      </c>
      <c r="S249" s="3">
        <f>IF(OR(F249="",F249=0),"",(N(H249)+N(Q249))/F249*1000)</f>
        <v/>
      </c>
    </row>
    <row r="250">
      <c r="A250" s="8" t="n"/>
      <c r="B250" s="8" t="n"/>
      <c r="C250" s="8" t="n"/>
      <c r="D250" s="8" t="n"/>
      <c r="E250" s="9" t="n"/>
      <c r="F250" s="8" t="n"/>
      <c r="G250" s="8" t="n"/>
      <c r="H250" s="8" t="n"/>
      <c r="I250" s="8" t="n"/>
      <c r="J250" s="8" t="n"/>
      <c r="K250" s="10">
        <f>IF(OR(F250="",SUMIFS($F:$F,$B:$B,B250,$E:$E,E250)=0),"",IF(SUMIFS($I:$I,$B:$B,B250,$E:$E,E250)&gt;0,N(I250)/SUMIFS($I:$I,$B:$B,B250,$E:$E,E250),F250/SUMIFS($F:$F,$B:$B,B250,$E:$E,E250)))</f>
        <v/>
      </c>
      <c r="L250" s="3">
        <f>IF(K250="","",K250*SUMIFS(Daily!$D:$D,Daily!$B:$B,B250,Daily!$A:$A,E250)+N(J250))</f>
        <v/>
      </c>
      <c r="M250" s="3">
        <f>IF(K250="","",K250*SUMIFS(Daily!$G:$G,Daily!$B:$B,B250,Daily!$A:$A,E250))</f>
        <v/>
      </c>
      <c r="N250" s="3">
        <f>IF(K250="","",K250*SUMIFS(Daily!$H:$H,Daily!$B:$B,B250,Daily!$A:$A,E250))</f>
        <v/>
      </c>
      <c r="O250" s="3">
        <f>IF(OR(M250="",F250=0),"",M250/F250*10000)</f>
        <v/>
      </c>
      <c r="P250" s="8" t="n"/>
      <c r="Q250" s="8" t="n"/>
      <c r="R250" s="6">
        <f>IF(OR(F250="",F250=0),"",N(I250)/F250)</f>
        <v/>
      </c>
      <c r="S250" s="3">
        <f>IF(OR(F250="",F250=0),"",(N(H250)+N(Q250))/F250*1000)</f>
        <v/>
      </c>
    </row>
    <row r="251">
      <c r="A251" s="8" t="n"/>
      <c r="B251" s="8" t="n"/>
      <c r="C251" s="8" t="n"/>
      <c r="D251" s="8" t="n"/>
      <c r="E251" s="9" t="n"/>
      <c r="F251" s="8" t="n"/>
      <c r="G251" s="8" t="n"/>
      <c r="H251" s="8" t="n"/>
      <c r="I251" s="8" t="n"/>
      <c r="J251" s="8" t="n"/>
      <c r="K251" s="10">
        <f>IF(OR(F251="",SUMIFS($F:$F,$B:$B,B251,$E:$E,E251)=0),"",IF(SUMIFS($I:$I,$B:$B,B251,$E:$E,E251)&gt;0,N(I251)/SUMIFS($I:$I,$B:$B,B251,$E:$E,E251),F251/SUMIFS($F:$F,$B:$B,B251,$E:$E,E251)))</f>
        <v/>
      </c>
      <c r="L251" s="3">
        <f>IF(K251="","",K251*SUMIFS(Daily!$D:$D,Daily!$B:$B,B251,Daily!$A:$A,E251)+N(J251))</f>
        <v/>
      </c>
      <c r="M251" s="3">
        <f>IF(K251="","",K251*SUMIFS(Daily!$G:$G,Daily!$B:$B,B251,Daily!$A:$A,E251))</f>
        <v/>
      </c>
      <c r="N251" s="3">
        <f>IF(K251="","",K251*SUMIFS(Daily!$H:$H,Daily!$B:$B,B251,Daily!$A:$A,E251))</f>
        <v/>
      </c>
      <c r="O251" s="3">
        <f>IF(OR(M251="",F251=0),"",M251/F251*10000)</f>
        <v/>
      </c>
      <c r="P251" s="8" t="n"/>
      <c r="Q251" s="8" t="n"/>
      <c r="R251" s="6">
        <f>IF(OR(F251="",F251=0),"",N(I251)/F251)</f>
        <v/>
      </c>
      <c r="S251" s="3">
        <f>IF(OR(F251="",F251=0),"",(N(H251)+N(Q251))/F251*1000)</f>
        <v/>
      </c>
    </row>
    <row r="252">
      <c r="A252" s="8" t="n"/>
      <c r="B252" s="8" t="n"/>
      <c r="C252" s="8" t="n"/>
      <c r="D252" s="8" t="n"/>
      <c r="E252" s="9" t="n"/>
      <c r="F252" s="8" t="n"/>
      <c r="G252" s="8" t="n"/>
      <c r="H252" s="8" t="n"/>
      <c r="I252" s="8" t="n"/>
      <c r="J252" s="8" t="n"/>
      <c r="K252" s="10">
        <f>IF(OR(F252="",SUMIFS($F:$F,$B:$B,B252,$E:$E,E252)=0),"",IF(SUMIFS($I:$I,$B:$B,B252,$E:$E,E252)&gt;0,N(I252)/SUMIFS($I:$I,$B:$B,B252,$E:$E,E252),F252/SUMIFS($F:$F,$B:$B,B252,$E:$E,E252)))</f>
        <v/>
      </c>
      <c r="L252" s="3">
        <f>IF(K252="","",K252*SUMIFS(Daily!$D:$D,Daily!$B:$B,B252,Daily!$A:$A,E252)+N(J252))</f>
        <v/>
      </c>
      <c r="M252" s="3">
        <f>IF(K252="","",K252*SUMIFS(Daily!$G:$G,Daily!$B:$B,B252,Daily!$A:$A,E252))</f>
        <v/>
      </c>
      <c r="N252" s="3">
        <f>IF(K252="","",K252*SUMIFS(Daily!$H:$H,Daily!$B:$B,B252,Daily!$A:$A,E252))</f>
        <v/>
      </c>
      <c r="O252" s="3">
        <f>IF(OR(M252="",F252=0),"",M252/F252*10000)</f>
        <v/>
      </c>
      <c r="P252" s="8" t="n"/>
      <c r="Q252" s="8" t="n"/>
      <c r="R252" s="6">
        <f>IF(OR(F252="",F252=0),"",N(I252)/F252)</f>
        <v/>
      </c>
      <c r="S252" s="3">
        <f>IF(OR(F252="",F252=0),"",(N(H252)+N(Q252))/F252*1000)</f>
        <v/>
      </c>
    </row>
    <row r="253">
      <c r="A253" s="8" t="n"/>
      <c r="B253" s="8" t="n"/>
      <c r="C253" s="8" t="n"/>
      <c r="D253" s="8" t="n"/>
      <c r="E253" s="9" t="n"/>
      <c r="F253" s="8" t="n"/>
      <c r="G253" s="8" t="n"/>
      <c r="H253" s="8" t="n"/>
      <c r="I253" s="8" t="n"/>
      <c r="J253" s="8" t="n"/>
      <c r="K253" s="10">
        <f>IF(OR(F253="",SUMIFS($F:$F,$B:$B,B253,$E:$E,E253)=0),"",IF(SUMIFS($I:$I,$B:$B,B253,$E:$E,E253)&gt;0,N(I253)/SUMIFS($I:$I,$B:$B,B253,$E:$E,E253),F253/SUMIFS($F:$F,$B:$B,B253,$E:$E,E253)))</f>
        <v/>
      </c>
      <c r="L253" s="3">
        <f>IF(K253="","",K253*SUMIFS(Daily!$D:$D,Daily!$B:$B,B253,Daily!$A:$A,E253)+N(J253))</f>
        <v/>
      </c>
      <c r="M253" s="3">
        <f>IF(K253="","",K253*SUMIFS(Daily!$G:$G,Daily!$B:$B,B253,Daily!$A:$A,E253))</f>
        <v/>
      </c>
      <c r="N253" s="3">
        <f>IF(K253="","",K253*SUMIFS(Daily!$H:$H,Daily!$B:$B,B253,Daily!$A:$A,E253))</f>
        <v/>
      </c>
      <c r="O253" s="3">
        <f>IF(OR(M253="",F253=0),"",M253/F253*10000)</f>
        <v/>
      </c>
      <c r="P253" s="8" t="n"/>
      <c r="Q253" s="8" t="n"/>
      <c r="R253" s="6">
        <f>IF(OR(F253="",F253=0),"",N(I253)/F253)</f>
        <v/>
      </c>
      <c r="S253" s="3">
        <f>IF(OR(F253="",F253=0),"",(N(H253)+N(Q253))/F253*1000)</f>
        <v/>
      </c>
    </row>
    <row r="254">
      <c r="A254" s="8" t="n"/>
      <c r="B254" s="8" t="n"/>
      <c r="C254" s="8" t="n"/>
      <c r="D254" s="8" t="n"/>
      <c r="E254" s="9" t="n"/>
      <c r="F254" s="8" t="n"/>
      <c r="G254" s="8" t="n"/>
      <c r="H254" s="8" t="n"/>
      <c r="I254" s="8" t="n"/>
      <c r="J254" s="8" t="n"/>
      <c r="K254" s="10">
        <f>IF(OR(F254="",SUMIFS($F:$F,$B:$B,B254,$E:$E,E254)=0),"",IF(SUMIFS($I:$I,$B:$B,B254,$E:$E,E254)&gt;0,N(I254)/SUMIFS($I:$I,$B:$B,B254,$E:$E,E254),F254/SUMIFS($F:$F,$B:$B,B254,$E:$E,E254)))</f>
        <v/>
      </c>
      <c r="L254" s="3">
        <f>IF(K254="","",K254*SUMIFS(Daily!$D:$D,Daily!$B:$B,B254,Daily!$A:$A,E254)+N(J254))</f>
        <v/>
      </c>
      <c r="M254" s="3">
        <f>IF(K254="","",K254*SUMIFS(Daily!$G:$G,Daily!$B:$B,B254,Daily!$A:$A,E254))</f>
        <v/>
      </c>
      <c r="N254" s="3">
        <f>IF(K254="","",K254*SUMIFS(Daily!$H:$H,Daily!$B:$B,B254,Daily!$A:$A,E254))</f>
        <v/>
      </c>
      <c r="O254" s="3">
        <f>IF(OR(M254="",F254=0),"",M254/F254*10000)</f>
        <v/>
      </c>
      <c r="P254" s="8" t="n"/>
      <c r="Q254" s="8" t="n"/>
      <c r="R254" s="6">
        <f>IF(OR(F254="",F254=0),"",N(I254)/F254)</f>
        <v/>
      </c>
      <c r="S254" s="3">
        <f>IF(OR(F254="",F254=0),"",(N(H254)+N(Q254))/F254*1000)</f>
        <v/>
      </c>
    </row>
    <row r="255">
      <c r="A255" s="8" t="n"/>
      <c r="B255" s="8" t="n"/>
      <c r="C255" s="8" t="n"/>
      <c r="D255" s="8" t="n"/>
      <c r="E255" s="9" t="n"/>
      <c r="F255" s="8" t="n"/>
      <c r="G255" s="8" t="n"/>
      <c r="H255" s="8" t="n"/>
      <c r="I255" s="8" t="n"/>
      <c r="J255" s="8" t="n"/>
      <c r="K255" s="10">
        <f>IF(OR(F255="",SUMIFS($F:$F,$B:$B,B255,$E:$E,E255)=0),"",IF(SUMIFS($I:$I,$B:$B,B255,$E:$E,E255)&gt;0,N(I255)/SUMIFS($I:$I,$B:$B,B255,$E:$E,E255),F255/SUMIFS($F:$F,$B:$B,B255,$E:$E,E255)))</f>
        <v/>
      </c>
      <c r="L255" s="3">
        <f>IF(K255="","",K255*SUMIFS(Daily!$D:$D,Daily!$B:$B,B255,Daily!$A:$A,E255)+N(J255))</f>
        <v/>
      </c>
      <c r="M255" s="3">
        <f>IF(K255="","",K255*SUMIFS(Daily!$G:$G,Daily!$B:$B,B255,Daily!$A:$A,E255))</f>
        <v/>
      </c>
      <c r="N255" s="3">
        <f>IF(K255="","",K255*SUMIFS(Daily!$H:$H,Daily!$B:$B,B255,Daily!$A:$A,E255))</f>
        <v/>
      </c>
      <c r="O255" s="3">
        <f>IF(OR(M255="",F255=0),"",M255/F255*10000)</f>
        <v/>
      </c>
      <c r="P255" s="8" t="n"/>
      <c r="Q255" s="8" t="n"/>
      <c r="R255" s="6">
        <f>IF(OR(F255="",F255=0),"",N(I255)/F255)</f>
        <v/>
      </c>
      <c r="S255" s="3">
        <f>IF(OR(F255="",F255=0),"",(N(H255)+N(Q255))/F255*1000)</f>
        <v/>
      </c>
    </row>
    <row r="256">
      <c r="A256" s="8" t="n"/>
      <c r="B256" s="8" t="n"/>
      <c r="C256" s="8" t="n"/>
      <c r="D256" s="8" t="n"/>
      <c r="E256" s="9" t="n"/>
      <c r="F256" s="8" t="n"/>
      <c r="G256" s="8" t="n"/>
      <c r="H256" s="8" t="n"/>
      <c r="I256" s="8" t="n"/>
      <c r="J256" s="8" t="n"/>
      <c r="K256" s="10">
        <f>IF(OR(F256="",SUMIFS($F:$F,$B:$B,B256,$E:$E,E256)=0),"",IF(SUMIFS($I:$I,$B:$B,B256,$E:$E,E256)&gt;0,N(I256)/SUMIFS($I:$I,$B:$B,B256,$E:$E,E256),F256/SUMIFS($F:$F,$B:$B,B256,$E:$E,E256)))</f>
        <v/>
      </c>
      <c r="L256" s="3">
        <f>IF(K256="","",K256*SUMIFS(Daily!$D:$D,Daily!$B:$B,B256,Daily!$A:$A,E256)+N(J256))</f>
        <v/>
      </c>
      <c r="M256" s="3">
        <f>IF(K256="","",K256*SUMIFS(Daily!$G:$G,Daily!$B:$B,B256,Daily!$A:$A,E256))</f>
        <v/>
      </c>
      <c r="N256" s="3">
        <f>IF(K256="","",K256*SUMIFS(Daily!$H:$H,Daily!$B:$B,B256,Daily!$A:$A,E256))</f>
        <v/>
      </c>
      <c r="O256" s="3">
        <f>IF(OR(M256="",F256=0),"",M256/F256*10000)</f>
        <v/>
      </c>
      <c r="P256" s="8" t="n"/>
      <c r="Q256" s="8" t="n"/>
      <c r="R256" s="6">
        <f>IF(OR(F256="",F256=0),"",N(I256)/F256)</f>
        <v/>
      </c>
      <c r="S256" s="3">
        <f>IF(OR(F256="",F256=0),"",(N(H256)+N(Q256))/F256*1000)</f>
        <v/>
      </c>
    </row>
    <row r="257">
      <c r="A257" s="8" t="n"/>
      <c r="B257" s="8" t="n"/>
      <c r="C257" s="8" t="n"/>
      <c r="D257" s="8" t="n"/>
      <c r="E257" s="9" t="n"/>
      <c r="F257" s="8" t="n"/>
      <c r="G257" s="8" t="n"/>
      <c r="H257" s="8" t="n"/>
      <c r="I257" s="8" t="n"/>
      <c r="J257" s="8" t="n"/>
      <c r="K257" s="10">
        <f>IF(OR(F257="",SUMIFS($F:$F,$B:$B,B257,$E:$E,E257)=0),"",IF(SUMIFS($I:$I,$B:$B,B257,$E:$E,E257)&gt;0,N(I257)/SUMIFS($I:$I,$B:$B,B257,$E:$E,E257),F257/SUMIFS($F:$F,$B:$B,B257,$E:$E,E257)))</f>
        <v/>
      </c>
      <c r="L257" s="3">
        <f>IF(K257="","",K257*SUMIFS(Daily!$D:$D,Daily!$B:$B,B257,Daily!$A:$A,E257)+N(J257))</f>
        <v/>
      </c>
      <c r="M257" s="3">
        <f>IF(K257="","",K257*SUMIFS(Daily!$G:$G,Daily!$B:$B,B257,Daily!$A:$A,E257))</f>
        <v/>
      </c>
      <c r="N257" s="3">
        <f>IF(K257="","",K257*SUMIFS(Daily!$H:$H,Daily!$B:$B,B257,Daily!$A:$A,E257))</f>
        <v/>
      </c>
      <c r="O257" s="3">
        <f>IF(OR(M257="",F257=0),"",M257/F257*10000)</f>
        <v/>
      </c>
      <c r="P257" s="8" t="n"/>
      <c r="Q257" s="8" t="n"/>
      <c r="R257" s="6">
        <f>IF(OR(F257="",F257=0),"",N(I257)/F257)</f>
        <v/>
      </c>
      <c r="S257" s="3">
        <f>IF(OR(F257="",F257=0),"",(N(H257)+N(Q257))/F257*1000)</f>
        <v/>
      </c>
    </row>
    <row r="258">
      <c r="A258" s="8" t="n"/>
      <c r="B258" s="8" t="n"/>
      <c r="C258" s="8" t="n"/>
      <c r="D258" s="8" t="n"/>
      <c r="E258" s="9" t="n"/>
      <c r="F258" s="8" t="n"/>
      <c r="G258" s="8" t="n"/>
      <c r="H258" s="8" t="n"/>
      <c r="I258" s="8" t="n"/>
      <c r="J258" s="8" t="n"/>
      <c r="K258" s="10">
        <f>IF(OR(F258="",SUMIFS($F:$F,$B:$B,B258,$E:$E,E258)=0),"",IF(SUMIFS($I:$I,$B:$B,B258,$E:$E,E258)&gt;0,N(I258)/SUMIFS($I:$I,$B:$B,B258,$E:$E,E258),F258/SUMIFS($F:$F,$B:$B,B258,$E:$E,E258)))</f>
        <v/>
      </c>
      <c r="L258" s="3">
        <f>IF(K258="","",K258*SUMIFS(Daily!$D:$D,Daily!$B:$B,B258,Daily!$A:$A,E258)+N(J258))</f>
        <v/>
      </c>
      <c r="M258" s="3">
        <f>IF(K258="","",K258*SUMIFS(Daily!$G:$G,Daily!$B:$B,B258,Daily!$A:$A,E258))</f>
        <v/>
      </c>
      <c r="N258" s="3">
        <f>IF(K258="","",K258*SUMIFS(Daily!$H:$H,Daily!$B:$B,B258,Daily!$A:$A,E258))</f>
        <v/>
      </c>
      <c r="O258" s="3">
        <f>IF(OR(M258="",F258=0),"",M258/F258*10000)</f>
        <v/>
      </c>
      <c r="P258" s="8" t="n"/>
      <c r="Q258" s="8" t="n"/>
      <c r="R258" s="6">
        <f>IF(OR(F258="",F258=0),"",N(I258)/F258)</f>
        <v/>
      </c>
      <c r="S258" s="3">
        <f>IF(OR(F258="",F258=0),"",(N(H258)+N(Q258))/F258*1000)</f>
        <v/>
      </c>
    </row>
    <row r="259">
      <c r="A259" s="8" t="n"/>
      <c r="B259" s="8" t="n"/>
      <c r="C259" s="8" t="n"/>
      <c r="D259" s="8" t="n"/>
      <c r="E259" s="9" t="n"/>
      <c r="F259" s="8" t="n"/>
      <c r="G259" s="8" t="n"/>
      <c r="H259" s="8" t="n"/>
      <c r="I259" s="8" t="n"/>
      <c r="J259" s="8" t="n"/>
      <c r="K259" s="10">
        <f>IF(OR(F259="",SUMIFS($F:$F,$B:$B,B259,$E:$E,E259)=0),"",IF(SUMIFS($I:$I,$B:$B,B259,$E:$E,E259)&gt;0,N(I259)/SUMIFS($I:$I,$B:$B,B259,$E:$E,E259),F259/SUMIFS($F:$F,$B:$B,B259,$E:$E,E259)))</f>
        <v/>
      </c>
      <c r="L259" s="3">
        <f>IF(K259="","",K259*SUMIFS(Daily!$D:$D,Daily!$B:$B,B259,Daily!$A:$A,E259)+N(J259))</f>
        <v/>
      </c>
      <c r="M259" s="3">
        <f>IF(K259="","",K259*SUMIFS(Daily!$G:$G,Daily!$B:$B,B259,Daily!$A:$A,E259))</f>
        <v/>
      </c>
      <c r="N259" s="3">
        <f>IF(K259="","",K259*SUMIFS(Daily!$H:$H,Daily!$B:$B,B259,Daily!$A:$A,E259))</f>
        <v/>
      </c>
      <c r="O259" s="3">
        <f>IF(OR(M259="",F259=0),"",M259/F259*10000)</f>
        <v/>
      </c>
      <c r="P259" s="8" t="n"/>
      <c r="Q259" s="8" t="n"/>
      <c r="R259" s="6">
        <f>IF(OR(F259="",F259=0),"",N(I259)/F259)</f>
        <v/>
      </c>
      <c r="S259" s="3">
        <f>IF(OR(F259="",F259=0),"",(N(H259)+N(Q259))/F259*1000)</f>
        <v/>
      </c>
    </row>
    <row r="260">
      <c r="A260" s="8" t="n"/>
      <c r="B260" s="8" t="n"/>
      <c r="C260" s="8" t="n"/>
      <c r="D260" s="8" t="n"/>
      <c r="E260" s="9" t="n"/>
      <c r="F260" s="8" t="n"/>
      <c r="G260" s="8" t="n"/>
      <c r="H260" s="8" t="n"/>
      <c r="I260" s="8" t="n"/>
      <c r="J260" s="8" t="n"/>
      <c r="K260" s="10">
        <f>IF(OR(F260="",SUMIFS($F:$F,$B:$B,B260,$E:$E,E260)=0),"",IF(SUMIFS($I:$I,$B:$B,B260,$E:$E,E260)&gt;0,N(I260)/SUMIFS($I:$I,$B:$B,B260,$E:$E,E260),F260/SUMIFS($F:$F,$B:$B,B260,$E:$E,E260)))</f>
        <v/>
      </c>
      <c r="L260" s="3">
        <f>IF(K260="","",K260*SUMIFS(Daily!$D:$D,Daily!$B:$B,B260,Daily!$A:$A,E260)+N(J260))</f>
        <v/>
      </c>
      <c r="M260" s="3">
        <f>IF(K260="","",K260*SUMIFS(Daily!$G:$G,Daily!$B:$B,B260,Daily!$A:$A,E260))</f>
        <v/>
      </c>
      <c r="N260" s="3">
        <f>IF(K260="","",K260*SUMIFS(Daily!$H:$H,Daily!$B:$B,B260,Daily!$A:$A,E260))</f>
        <v/>
      </c>
      <c r="O260" s="3">
        <f>IF(OR(M260="",F260=0),"",M260/F260*10000)</f>
        <v/>
      </c>
      <c r="P260" s="8" t="n"/>
      <c r="Q260" s="8" t="n"/>
      <c r="R260" s="6">
        <f>IF(OR(F260="",F260=0),"",N(I260)/F260)</f>
        <v/>
      </c>
      <c r="S260" s="3">
        <f>IF(OR(F260="",F260=0),"",(N(H260)+N(Q260))/F260*1000)</f>
        <v/>
      </c>
    </row>
    <row r="261">
      <c r="A261" s="8" t="n"/>
      <c r="B261" s="8" t="n"/>
      <c r="C261" s="8" t="n"/>
      <c r="D261" s="8" t="n"/>
      <c r="E261" s="9" t="n"/>
      <c r="F261" s="8" t="n"/>
      <c r="G261" s="8" t="n"/>
      <c r="H261" s="8" t="n"/>
      <c r="I261" s="8" t="n"/>
      <c r="J261" s="8" t="n"/>
      <c r="K261" s="10">
        <f>IF(OR(F261="",SUMIFS($F:$F,$B:$B,B261,$E:$E,E261)=0),"",IF(SUMIFS($I:$I,$B:$B,B261,$E:$E,E261)&gt;0,N(I261)/SUMIFS($I:$I,$B:$B,B261,$E:$E,E261),F261/SUMIFS($F:$F,$B:$B,B261,$E:$E,E261)))</f>
        <v/>
      </c>
      <c r="L261" s="3">
        <f>IF(K261="","",K261*SUMIFS(Daily!$D:$D,Daily!$B:$B,B261,Daily!$A:$A,E261)+N(J261))</f>
        <v/>
      </c>
      <c r="M261" s="3">
        <f>IF(K261="","",K261*SUMIFS(Daily!$G:$G,Daily!$B:$B,B261,Daily!$A:$A,E261))</f>
        <v/>
      </c>
      <c r="N261" s="3">
        <f>IF(K261="","",K261*SUMIFS(Daily!$H:$H,Daily!$B:$B,B261,Daily!$A:$A,E261))</f>
        <v/>
      </c>
      <c r="O261" s="3">
        <f>IF(OR(M261="",F261=0),"",M261/F261*10000)</f>
        <v/>
      </c>
      <c r="P261" s="8" t="n"/>
      <c r="Q261" s="8" t="n"/>
      <c r="R261" s="6">
        <f>IF(OR(F261="",F261=0),"",N(I261)/F261)</f>
        <v/>
      </c>
      <c r="S261" s="3">
        <f>IF(OR(F261="",F261=0),"",(N(H261)+N(Q261))/F261*1000)</f>
        <v/>
      </c>
    </row>
    <row r="262">
      <c r="A262" s="8" t="n"/>
      <c r="B262" s="8" t="n"/>
      <c r="C262" s="8" t="n"/>
      <c r="D262" s="8" t="n"/>
      <c r="E262" s="9" t="n"/>
      <c r="F262" s="8" t="n"/>
      <c r="G262" s="8" t="n"/>
      <c r="H262" s="8" t="n"/>
      <c r="I262" s="8" t="n"/>
      <c r="J262" s="8" t="n"/>
      <c r="K262" s="10">
        <f>IF(OR(F262="",SUMIFS($F:$F,$B:$B,B262,$E:$E,E262)=0),"",IF(SUMIFS($I:$I,$B:$B,B262,$E:$E,E262)&gt;0,N(I262)/SUMIFS($I:$I,$B:$B,B262,$E:$E,E262),F262/SUMIFS($F:$F,$B:$B,B262,$E:$E,E262)))</f>
        <v/>
      </c>
      <c r="L262" s="3">
        <f>IF(K262="","",K262*SUMIFS(Daily!$D:$D,Daily!$B:$B,B262,Daily!$A:$A,E262)+N(J262))</f>
        <v/>
      </c>
      <c r="M262" s="3">
        <f>IF(K262="","",K262*SUMIFS(Daily!$G:$G,Daily!$B:$B,B262,Daily!$A:$A,E262))</f>
        <v/>
      </c>
      <c r="N262" s="3">
        <f>IF(K262="","",K262*SUMIFS(Daily!$H:$H,Daily!$B:$B,B262,Daily!$A:$A,E262))</f>
        <v/>
      </c>
      <c r="O262" s="3">
        <f>IF(OR(M262="",F262=0),"",M262/F262*10000)</f>
        <v/>
      </c>
      <c r="P262" s="8" t="n"/>
      <c r="Q262" s="8" t="n"/>
      <c r="R262" s="6">
        <f>IF(OR(F262="",F262=0),"",N(I262)/F262)</f>
        <v/>
      </c>
      <c r="S262" s="3">
        <f>IF(OR(F262="",F262=0),"",(N(H262)+N(Q262))/F262*1000)</f>
        <v/>
      </c>
    </row>
    <row r="263">
      <c r="A263" s="8" t="n"/>
      <c r="B263" s="8" t="n"/>
      <c r="C263" s="8" t="n"/>
      <c r="D263" s="8" t="n"/>
      <c r="E263" s="9" t="n"/>
      <c r="F263" s="8" t="n"/>
      <c r="G263" s="8" t="n"/>
      <c r="H263" s="8" t="n"/>
      <c r="I263" s="8" t="n"/>
      <c r="J263" s="8" t="n"/>
      <c r="K263" s="10">
        <f>IF(OR(F263="",SUMIFS($F:$F,$B:$B,B263,$E:$E,E263)=0),"",IF(SUMIFS($I:$I,$B:$B,B263,$E:$E,E263)&gt;0,N(I263)/SUMIFS($I:$I,$B:$B,B263,$E:$E,E263),F263/SUMIFS($F:$F,$B:$B,B263,$E:$E,E263)))</f>
        <v/>
      </c>
      <c r="L263" s="3">
        <f>IF(K263="","",K263*SUMIFS(Daily!$D:$D,Daily!$B:$B,B263,Daily!$A:$A,E263)+N(J263))</f>
        <v/>
      </c>
      <c r="M263" s="3">
        <f>IF(K263="","",K263*SUMIFS(Daily!$G:$G,Daily!$B:$B,B263,Daily!$A:$A,E263))</f>
        <v/>
      </c>
      <c r="N263" s="3">
        <f>IF(K263="","",K263*SUMIFS(Daily!$H:$H,Daily!$B:$B,B263,Daily!$A:$A,E263))</f>
        <v/>
      </c>
      <c r="O263" s="3">
        <f>IF(OR(M263="",F263=0),"",M263/F263*10000)</f>
        <v/>
      </c>
      <c r="P263" s="8" t="n"/>
      <c r="Q263" s="8" t="n"/>
      <c r="R263" s="6">
        <f>IF(OR(F263="",F263=0),"",N(I263)/F263)</f>
        <v/>
      </c>
      <c r="S263" s="3">
        <f>IF(OR(F263="",F263=0),"",(N(H263)+N(Q263))/F263*1000)</f>
        <v/>
      </c>
    </row>
    <row r="264">
      <c r="A264" s="8" t="n"/>
      <c r="B264" s="8" t="n"/>
      <c r="C264" s="8" t="n"/>
      <c r="D264" s="8" t="n"/>
      <c r="E264" s="9" t="n"/>
      <c r="F264" s="8" t="n"/>
      <c r="G264" s="8" t="n"/>
      <c r="H264" s="8" t="n"/>
      <c r="I264" s="8" t="n"/>
      <c r="J264" s="8" t="n"/>
      <c r="K264" s="10">
        <f>IF(OR(F264="",SUMIFS($F:$F,$B:$B,B264,$E:$E,E264)=0),"",IF(SUMIFS($I:$I,$B:$B,B264,$E:$E,E264)&gt;0,N(I264)/SUMIFS($I:$I,$B:$B,B264,$E:$E,E264),F264/SUMIFS($F:$F,$B:$B,B264,$E:$E,E264)))</f>
        <v/>
      </c>
      <c r="L264" s="3">
        <f>IF(K264="","",K264*SUMIFS(Daily!$D:$D,Daily!$B:$B,B264,Daily!$A:$A,E264)+N(J264))</f>
        <v/>
      </c>
      <c r="M264" s="3">
        <f>IF(K264="","",K264*SUMIFS(Daily!$G:$G,Daily!$B:$B,B264,Daily!$A:$A,E264))</f>
        <v/>
      </c>
      <c r="N264" s="3">
        <f>IF(K264="","",K264*SUMIFS(Daily!$H:$H,Daily!$B:$B,B264,Daily!$A:$A,E264))</f>
        <v/>
      </c>
      <c r="O264" s="3">
        <f>IF(OR(M264="",F264=0),"",M264/F264*10000)</f>
        <v/>
      </c>
      <c r="P264" s="8" t="n"/>
      <c r="Q264" s="8" t="n"/>
      <c r="R264" s="6">
        <f>IF(OR(F264="",F264=0),"",N(I264)/F264)</f>
        <v/>
      </c>
      <c r="S264" s="3">
        <f>IF(OR(F264="",F264=0),"",(N(H264)+N(Q264))/F264*1000)</f>
        <v/>
      </c>
    </row>
    <row r="265">
      <c r="A265" s="8" t="n"/>
      <c r="B265" s="8" t="n"/>
      <c r="C265" s="8" t="n"/>
      <c r="D265" s="8" t="n"/>
      <c r="E265" s="9" t="n"/>
      <c r="F265" s="8" t="n"/>
      <c r="G265" s="8" t="n"/>
      <c r="H265" s="8" t="n"/>
      <c r="I265" s="8" t="n"/>
      <c r="J265" s="8" t="n"/>
      <c r="K265" s="10">
        <f>IF(OR(F265="",SUMIFS($F:$F,$B:$B,B265,$E:$E,E265)=0),"",IF(SUMIFS($I:$I,$B:$B,B265,$E:$E,E265)&gt;0,N(I265)/SUMIFS($I:$I,$B:$B,B265,$E:$E,E265),F265/SUMIFS($F:$F,$B:$B,B265,$E:$E,E265)))</f>
        <v/>
      </c>
      <c r="L265" s="3">
        <f>IF(K265="","",K265*SUMIFS(Daily!$D:$D,Daily!$B:$B,B265,Daily!$A:$A,E265)+N(J265))</f>
        <v/>
      </c>
      <c r="M265" s="3">
        <f>IF(K265="","",K265*SUMIFS(Daily!$G:$G,Daily!$B:$B,B265,Daily!$A:$A,E265))</f>
        <v/>
      </c>
      <c r="N265" s="3">
        <f>IF(K265="","",K265*SUMIFS(Daily!$H:$H,Daily!$B:$B,B265,Daily!$A:$A,E265))</f>
        <v/>
      </c>
      <c r="O265" s="3">
        <f>IF(OR(M265="",F265=0),"",M265/F265*10000)</f>
        <v/>
      </c>
      <c r="P265" s="8" t="n"/>
      <c r="Q265" s="8" t="n"/>
      <c r="R265" s="6">
        <f>IF(OR(F265="",F265=0),"",N(I265)/F265)</f>
        <v/>
      </c>
      <c r="S265" s="3">
        <f>IF(OR(F265="",F265=0),"",(N(H265)+N(Q265))/F265*1000)</f>
        <v/>
      </c>
    </row>
    <row r="266">
      <c r="A266" s="8" t="n"/>
      <c r="B266" s="8" t="n"/>
      <c r="C266" s="8" t="n"/>
      <c r="D266" s="8" t="n"/>
      <c r="E266" s="9" t="n"/>
      <c r="F266" s="8" t="n"/>
      <c r="G266" s="8" t="n"/>
      <c r="H266" s="8" t="n"/>
      <c r="I266" s="8" t="n"/>
      <c r="J266" s="8" t="n"/>
      <c r="K266" s="10">
        <f>IF(OR(F266="",SUMIFS($F:$F,$B:$B,B266,$E:$E,E266)=0),"",IF(SUMIFS($I:$I,$B:$B,B266,$E:$E,E266)&gt;0,N(I266)/SUMIFS($I:$I,$B:$B,B266,$E:$E,E266),F266/SUMIFS($F:$F,$B:$B,B266,$E:$E,E266)))</f>
        <v/>
      </c>
      <c r="L266" s="3">
        <f>IF(K266="","",K266*SUMIFS(Daily!$D:$D,Daily!$B:$B,B266,Daily!$A:$A,E266)+N(J266))</f>
        <v/>
      </c>
      <c r="M266" s="3">
        <f>IF(K266="","",K266*SUMIFS(Daily!$G:$G,Daily!$B:$B,B266,Daily!$A:$A,E266))</f>
        <v/>
      </c>
      <c r="N266" s="3">
        <f>IF(K266="","",K266*SUMIFS(Daily!$H:$H,Daily!$B:$B,B266,Daily!$A:$A,E266))</f>
        <v/>
      </c>
      <c r="O266" s="3">
        <f>IF(OR(M266="",F266=0),"",M266/F266*10000)</f>
        <v/>
      </c>
      <c r="P266" s="8" t="n"/>
      <c r="Q266" s="8" t="n"/>
      <c r="R266" s="6">
        <f>IF(OR(F266="",F266=0),"",N(I266)/F266)</f>
        <v/>
      </c>
      <c r="S266" s="3">
        <f>IF(OR(F266="",F266=0),"",(N(H266)+N(Q266))/F266*1000)</f>
        <v/>
      </c>
    </row>
    <row r="267">
      <c r="A267" s="8" t="n"/>
      <c r="B267" s="8" t="n"/>
      <c r="C267" s="8" t="n"/>
      <c r="D267" s="8" t="n"/>
      <c r="E267" s="9" t="n"/>
      <c r="F267" s="8" t="n"/>
      <c r="G267" s="8" t="n"/>
      <c r="H267" s="8" t="n"/>
      <c r="I267" s="8" t="n"/>
      <c r="J267" s="8" t="n"/>
      <c r="K267" s="10">
        <f>IF(OR(F267="",SUMIFS($F:$F,$B:$B,B267,$E:$E,E267)=0),"",IF(SUMIFS($I:$I,$B:$B,B267,$E:$E,E267)&gt;0,N(I267)/SUMIFS($I:$I,$B:$B,B267,$E:$E,E267),F267/SUMIFS($F:$F,$B:$B,B267,$E:$E,E267)))</f>
        <v/>
      </c>
      <c r="L267" s="3">
        <f>IF(K267="","",K267*SUMIFS(Daily!$D:$D,Daily!$B:$B,B267,Daily!$A:$A,E267)+N(J267))</f>
        <v/>
      </c>
      <c r="M267" s="3">
        <f>IF(K267="","",K267*SUMIFS(Daily!$G:$G,Daily!$B:$B,B267,Daily!$A:$A,E267))</f>
        <v/>
      </c>
      <c r="N267" s="3">
        <f>IF(K267="","",K267*SUMIFS(Daily!$H:$H,Daily!$B:$B,B267,Daily!$A:$A,E267))</f>
        <v/>
      </c>
      <c r="O267" s="3">
        <f>IF(OR(M267="",F267=0),"",M267/F267*10000)</f>
        <v/>
      </c>
      <c r="P267" s="8" t="n"/>
      <c r="Q267" s="8" t="n"/>
      <c r="R267" s="6">
        <f>IF(OR(F267="",F267=0),"",N(I267)/F267)</f>
        <v/>
      </c>
      <c r="S267" s="3">
        <f>IF(OR(F267="",F267=0),"",(N(H267)+N(Q267))/F267*1000)</f>
        <v/>
      </c>
    </row>
    <row r="268">
      <c r="A268" s="8" t="n"/>
      <c r="B268" s="8" t="n"/>
      <c r="C268" s="8" t="n"/>
      <c r="D268" s="8" t="n"/>
      <c r="E268" s="9" t="n"/>
      <c r="F268" s="8" t="n"/>
      <c r="G268" s="8" t="n"/>
      <c r="H268" s="8" t="n"/>
      <c r="I268" s="8" t="n"/>
      <c r="J268" s="8" t="n"/>
      <c r="K268" s="10">
        <f>IF(OR(F268="",SUMIFS($F:$F,$B:$B,B268,$E:$E,E268)=0),"",IF(SUMIFS($I:$I,$B:$B,B268,$E:$E,E268)&gt;0,N(I268)/SUMIFS($I:$I,$B:$B,B268,$E:$E,E268),F268/SUMIFS($F:$F,$B:$B,B268,$E:$E,E268)))</f>
        <v/>
      </c>
      <c r="L268" s="3">
        <f>IF(K268="","",K268*SUMIFS(Daily!$D:$D,Daily!$B:$B,B268,Daily!$A:$A,E268)+N(J268))</f>
        <v/>
      </c>
      <c r="M268" s="3">
        <f>IF(K268="","",K268*SUMIFS(Daily!$G:$G,Daily!$B:$B,B268,Daily!$A:$A,E268))</f>
        <v/>
      </c>
      <c r="N268" s="3">
        <f>IF(K268="","",K268*SUMIFS(Daily!$H:$H,Daily!$B:$B,B268,Daily!$A:$A,E268))</f>
        <v/>
      </c>
      <c r="O268" s="3">
        <f>IF(OR(M268="",F268=0),"",M268/F268*10000)</f>
        <v/>
      </c>
      <c r="P268" s="8" t="n"/>
      <c r="Q268" s="8" t="n"/>
      <c r="R268" s="6">
        <f>IF(OR(F268="",F268=0),"",N(I268)/F268)</f>
        <v/>
      </c>
      <c r="S268" s="3">
        <f>IF(OR(F268="",F268=0),"",(N(H268)+N(Q268))/F268*1000)</f>
        <v/>
      </c>
    </row>
    <row r="269">
      <c r="A269" s="8" t="n"/>
      <c r="B269" s="8" t="n"/>
      <c r="C269" s="8" t="n"/>
      <c r="D269" s="8" t="n"/>
      <c r="E269" s="9" t="n"/>
      <c r="F269" s="8" t="n"/>
      <c r="G269" s="8" t="n"/>
      <c r="H269" s="8" t="n"/>
      <c r="I269" s="8" t="n"/>
      <c r="J269" s="8" t="n"/>
      <c r="K269" s="10">
        <f>IF(OR(F269="",SUMIFS($F:$F,$B:$B,B269,$E:$E,E269)=0),"",IF(SUMIFS($I:$I,$B:$B,B269,$E:$E,E269)&gt;0,N(I269)/SUMIFS($I:$I,$B:$B,B269,$E:$E,E269),F269/SUMIFS($F:$F,$B:$B,B269,$E:$E,E269)))</f>
        <v/>
      </c>
      <c r="L269" s="3">
        <f>IF(K269="","",K269*SUMIFS(Daily!$D:$D,Daily!$B:$B,B269,Daily!$A:$A,E269)+N(J269))</f>
        <v/>
      </c>
      <c r="M269" s="3">
        <f>IF(K269="","",K269*SUMIFS(Daily!$G:$G,Daily!$B:$B,B269,Daily!$A:$A,E269))</f>
        <v/>
      </c>
      <c r="N269" s="3">
        <f>IF(K269="","",K269*SUMIFS(Daily!$H:$H,Daily!$B:$B,B269,Daily!$A:$A,E269))</f>
        <v/>
      </c>
      <c r="O269" s="3">
        <f>IF(OR(M269="",F269=0),"",M269/F269*10000)</f>
        <v/>
      </c>
      <c r="P269" s="8" t="n"/>
      <c r="Q269" s="8" t="n"/>
      <c r="R269" s="6">
        <f>IF(OR(F269="",F269=0),"",N(I269)/F269)</f>
        <v/>
      </c>
      <c r="S269" s="3">
        <f>IF(OR(F269="",F269=0),"",(N(H269)+N(Q269))/F269*1000)</f>
        <v/>
      </c>
    </row>
    <row r="270">
      <c r="A270" s="8" t="n"/>
      <c r="B270" s="8" t="n"/>
      <c r="C270" s="8" t="n"/>
      <c r="D270" s="8" t="n"/>
      <c r="E270" s="9" t="n"/>
      <c r="F270" s="8" t="n"/>
      <c r="G270" s="8" t="n"/>
      <c r="H270" s="8" t="n"/>
      <c r="I270" s="8" t="n"/>
      <c r="J270" s="8" t="n"/>
      <c r="K270" s="10">
        <f>IF(OR(F270="",SUMIFS($F:$F,$B:$B,B270,$E:$E,E270)=0),"",IF(SUMIFS($I:$I,$B:$B,B270,$E:$E,E270)&gt;0,N(I270)/SUMIFS($I:$I,$B:$B,B270,$E:$E,E270),F270/SUMIFS($F:$F,$B:$B,B270,$E:$E,E270)))</f>
        <v/>
      </c>
      <c r="L270" s="3">
        <f>IF(K270="","",K270*SUMIFS(Daily!$D:$D,Daily!$B:$B,B270,Daily!$A:$A,E270)+N(J270))</f>
        <v/>
      </c>
      <c r="M270" s="3">
        <f>IF(K270="","",K270*SUMIFS(Daily!$G:$G,Daily!$B:$B,B270,Daily!$A:$A,E270))</f>
        <v/>
      </c>
      <c r="N270" s="3">
        <f>IF(K270="","",K270*SUMIFS(Daily!$H:$H,Daily!$B:$B,B270,Daily!$A:$A,E270))</f>
        <v/>
      </c>
      <c r="O270" s="3">
        <f>IF(OR(M270="",F270=0),"",M270/F270*10000)</f>
        <v/>
      </c>
      <c r="P270" s="8" t="n"/>
      <c r="Q270" s="8" t="n"/>
      <c r="R270" s="6">
        <f>IF(OR(F270="",F270=0),"",N(I270)/F270)</f>
        <v/>
      </c>
      <c r="S270" s="3">
        <f>IF(OR(F270="",F270=0),"",(N(H270)+N(Q270))/F270*1000)</f>
        <v/>
      </c>
    </row>
    <row r="271">
      <c r="A271" s="8" t="n"/>
      <c r="B271" s="8" t="n"/>
      <c r="C271" s="8" t="n"/>
      <c r="D271" s="8" t="n"/>
      <c r="E271" s="9" t="n"/>
      <c r="F271" s="8" t="n"/>
      <c r="G271" s="8" t="n"/>
      <c r="H271" s="8" t="n"/>
      <c r="I271" s="8" t="n"/>
      <c r="J271" s="8" t="n"/>
      <c r="K271" s="10">
        <f>IF(OR(F271="",SUMIFS($F:$F,$B:$B,B271,$E:$E,E271)=0),"",IF(SUMIFS($I:$I,$B:$B,B271,$E:$E,E271)&gt;0,N(I271)/SUMIFS($I:$I,$B:$B,B271,$E:$E,E271),F271/SUMIFS($F:$F,$B:$B,B271,$E:$E,E271)))</f>
        <v/>
      </c>
      <c r="L271" s="3">
        <f>IF(K271="","",K271*SUMIFS(Daily!$D:$D,Daily!$B:$B,B271,Daily!$A:$A,E271)+N(J271))</f>
        <v/>
      </c>
      <c r="M271" s="3">
        <f>IF(K271="","",K271*SUMIFS(Daily!$G:$G,Daily!$B:$B,B271,Daily!$A:$A,E271))</f>
        <v/>
      </c>
      <c r="N271" s="3">
        <f>IF(K271="","",K271*SUMIFS(Daily!$H:$H,Daily!$B:$B,B271,Daily!$A:$A,E271))</f>
        <v/>
      </c>
      <c r="O271" s="3">
        <f>IF(OR(M271="",F271=0),"",M271/F271*10000)</f>
        <v/>
      </c>
      <c r="P271" s="8" t="n"/>
      <c r="Q271" s="8" t="n"/>
      <c r="R271" s="6">
        <f>IF(OR(F271="",F271=0),"",N(I271)/F271)</f>
        <v/>
      </c>
      <c r="S271" s="3">
        <f>IF(OR(F271="",F271=0),"",(N(H271)+N(Q271))/F271*1000)</f>
        <v/>
      </c>
    </row>
    <row r="272">
      <c r="A272" s="8" t="n"/>
      <c r="B272" s="8" t="n"/>
      <c r="C272" s="8" t="n"/>
      <c r="D272" s="8" t="n"/>
      <c r="E272" s="9" t="n"/>
      <c r="F272" s="8" t="n"/>
      <c r="G272" s="8" t="n"/>
      <c r="H272" s="8" t="n"/>
      <c r="I272" s="8" t="n"/>
      <c r="J272" s="8" t="n"/>
      <c r="K272" s="10">
        <f>IF(OR(F272="",SUMIFS($F:$F,$B:$B,B272,$E:$E,E272)=0),"",IF(SUMIFS($I:$I,$B:$B,B272,$E:$E,E272)&gt;0,N(I272)/SUMIFS($I:$I,$B:$B,B272,$E:$E,E272),F272/SUMIFS($F:$F,$B:$B,B272,$E:$E,E272)))</f>
        <v/>
      </c>
      <c r="L272" s="3">
        <f>IF(K272="","",K272*SUMIFS(Daily!$D:$D,Daily!$B:$B,B272,Daily!$A:$A,E272)+N(J272))</f>
        <v/>
      </c>
      <c r="M272" s="3">
        <f>IF(K272="","",K272*SUMIFS(Daily!$G:$G,Daily!$B:$B,B272,Daily!$A:$A,E272))</f>
        <v/>
      </c>
      <c r="N272" s="3">
        <f>IF(K272="","",K272*SUMIFS(Daily!$H:$H,Daily!$B:$B,B272,Daily!$A:$A,E272))</f>
        <v/>
      </c>
      <c r="O272" s="3">
        <f>IF(OR(M272="",F272=0),"",M272/F272*10000)</f>
        <v/>
      </c>
      <c r="P272" s="8" t="n"/>
      <c r="Q272" s="8" t="n"/>
      <c r="R272" s="6">
        <f>IF(OR(F272="",F272=0),"",N(I272)/F272)</f>
        <v/>
      </c>
      <c r="S272" s="3">
        <f>IF(OR(F272="",F272=0),"",(N(H272)+N(Q272))/F272*1000)</f>
        <v/>
      </c>
    </row>
    <row r="273">
      <c r="A273" s="8" t="n"/>
      <c r="B273" s="8" t="n"/>
      <c r="C273" s="8" t="n"/>
      <c r="D273" s="8" t="n"/>
      <c r="E273" s="9" t="n"/>
      <c r="F273" s="8" t="n"/>
      <c r="G273" s="8" t="n"/>
      <c r="H273" s="8" t="n"/>
      <c r="I273" s="8" t="n"/>
      <c r="J273" s="8" t="n"/>
      <c r="K273" s="10">
        <f>IF(OR(F273="",SUMIFS($F:$F,$B:$B,B273,$E:$E,E273)=0),"",IF(SUMIFS($I:$I,$B:$B,B273,$E:$E,E273)&gt;0,N(I273)/SUMIFS($I:$I,$B:$B,B273,$E:$E,E273),F273/SUMIFS($F:$F,$B:$B,B273,$E:$E,E273)))</f>
        <v/>
      </c>
      <c r="L273" s="3">
        <f>IF(K273="","",K273*SUMIFS(Daily!$D:$D,Daily!$B:$B,B273,Daily!$A:$A,E273)+N(J273))</f>
        <v/>
      </c>
      <c r="M273" s="3">
        <f>IF(K273="","",K273*SUMIFS(Daily!$G:$G,Daily!$B:$B,B273,Daily!$A:$A,E273))</f>
        <v/>
      </c>
      <c r="N273" s="3">
        <f>IF(K273="","",K273*SUMIFS(Daily!$H:$H,Daily!$B:$B,B273,Daily!$A:$A,E273))</f>
        <v/>
      </c>
      <c r="O273" s="3">
        <f>IF(OR(M273="",F273=0),"",M273/F273*10000)</f>
        <v/>
      </c>
      <c r="P273" s="8" t="n"/>
      <c r="Q273" s="8" t="n"/>
      <c r="R273" s="6">
        <f>IF(OR(F273="",F273=0),"",N(I273)/F273)</f>
        <v/>
      </c>
      <c r="S273" s="3">
        <f>IF(OR(F273="",F273=0),"",(N(H273)+N(Q273))/F273*1000)</f>
        <v/>
      </c>
    </row>
    <row r="274">
      <c r="A274" s="8" t="n"/>
      <c r="B274" s="8" t="n"/>
      <c r="C274" s="8" t="n"/>
      <c r="D274" s="8" t="n"/>
      <c r="E274" s="9" t="n"/>
      <c r="F274" s="8" t="n"/>
      <c r="G274" s="8" t="n"/>
      <c r="H274" s="8" t="n"/>
      <c r="I274" s="8" t="n"/>
      <c r="J274" s="8" t="n"/>
      <c r="K274" s="10">
        <f>IF(OR(F274="",SUMIFS($F:$F,$B:$B,B274,$E:$E,E274)=0),"",IF(SUMIFS($I:$I,$B:$B,B274,$E:$E,E274)&gt;0,N(I274)/SUMIFS($I:$I,$B:$B,B274,$E:$E,E274),F274/SUMIFS($F:$F,$B:$B,B274,$E:$E,E274)))</f>
        <v/>
      </c>
      <c r="L274" s="3">
        <f>IF(K274="","",K274*SUMIFS(Daily!$D:$D,Daily!$B:$B,B274,Daily!$A:$A,E274)+N(J274))</f>
        <v/>
      </c>
      <c r="M274" s="3">
        <f>IF(K274="","",K274*SUMIFS(Daily!$G:$G,Daily!$B:$B,B274,Daily!$A:$A,E274))</f>
        <v/>
      </c>
      <c r="N274" s="3">
        <f>IF(K274="","",K274*SUMIFS(Daily!$H:$H,Daily!$B:$B,B274,Daily!$A:$A,E274))</f>
        <v/>
      </c>
      <c r="O274" s="3">
        <f>IF(OR(M274="",F274=0),"",M274/F274*10000)</f>
        <v/>
      </c>
      <c r="P274" s="8" t="n"/>
      <c r="Q274" s="8" t="n"/>
      <c r="R274" s="6">
        <f>IF(OR(F274="",F274=0),"",N(I274)/F274)</f>
        <v/>
      </c>
      <c r="S274" s="3">
        <f>IF(OR(F274="",F274=0),"",(N(H274)+N(Q274))/F274*1000)</f>
        <v/>
      </c>
    </row>
    <row r="275">
      <c r="A275" s="8" t="n"/>
      <c r="B275" s="8" t="n"/>
      <c r="C275" s="8" t="n"/>
      <c r="D275" s="8" t="n"/>
      <c r="E275" s="9" t="n"/>
      <c r="F275" s="8" t="n"/>
      <c r="G275" s="8" t="n"/>
      <c r="H275" s="8" t="n"/>
      <c r="I275" s="8" t="n"/>
      <c r="J275" s="8" t="n"/>
      <c r="K275" s="10">
        <f>IF(OR(F275="",SUMIFS($F:$F,$B:$B,B275,$E:$E,E275)=0),"",IF(SUMIFS($I:$I,$B:$B,B275,$E:$E,E275)&gt;0,N(I275)/SUMIFS($I:$I,$B:$B,B275,$E:$E,E275),F275/SUMIFS($F:$F,$B:$B,B275,$E:$E,E275)))</f>
        <v/>
      </c>
      <c r="L275" s="3">
        <f>IF(K275="","",K275*SUMIFS(Daily!$D:$D,Daily!$B:$B,B275,Daily!$A:$A,E275)+N(J275))</f>
        <v/>
      </c>
      <c r="M275" s="3">
        <f>IF(K275="","",K275*SUMIFS(Daily!$G:$G,Daily!$B:$B,B275,Daily!$A:$A,E275))</f>
        <v/>
      </c>
      <c r="N275" s="3">
        <f>IF(K275="","",K275*SUMIFS(Daily!$H:$H,Daily!$B:$B,B275,Daily!$A:$A,E275))</f>
        <v/>
      </c>
      <c r="O275" s="3">
        <f>IF(OR(M275="",F275=0),"",M275/F275*10000)</f>
        <v/>
      </c>
      <c r="P275" s="8" t="n"/>
      <c r="Q275" s="8" t="n"/>
      <c r="R275" s="6">
        <f>IF(OR(F275="",F275=0),"",N(I275)/F275)</f>
        <v/>
      </c>
      <c r="S275" s="3">
        <f>IF(OR(F275="",F275=0),"",(N(H275)+N(Q275))/F275*1000)</f>
        <v/>
      </c>
    </row>
    <row r="276">
      <c r="A276" s="8" t="n"/>
      <c r="B276" s="8" t="n"/>
      <c r="C276" s="8" t="n"/>
      <c r="D276" s="8" t="n"/>
      <c r="E276" s="9" t="n"/>
      <c r="F276" s="8" t="n"/>
      <c r="G276" s="8" t="n"/>
      <c r="H276" s="8" t="n"/>
      <c r="I276" s="8" t="n"/>
      <c r="J276" s="8" t="n"/>
      <c r="K276" s="10">
        <f>IF(OR(F276="",SUMIFS($F:$F,$B:$B,B276,$E:$E,E276)=0),"",IF(SUMIFS($I:$I,$B:$B,B276,$E:$E,E276)&gt;0,N(I276)/SUMIFS($I:$I,$B:$B,B276,$E:$E,E276),F276/SUMIFS($F:$F,$B:$B,B276,$E:$E,E276)))</f>
        <v/>
      </c>
      <c r="L276" s="3">
        <f>IF(K276="","",K276*SUMIFS(Daily!$D:$D,Daily!$B:$B,B276,Daily!$A:$A,E276)+N(J276))</f>
        <v/>
      </c>
      <c r="M276" s="3">
        <f>IF(K276="","",K276*SUMIFS(Daily!$G:$G,Daily!$B:$B,B276,Daily!$A:$A,E276))</f>
        <v/>
      </c>
      <c r="N276" s="3">
        <f>IF(K276="","",K276*SUMIFS(Daily!$H:$H,Daily!$B:$B,B276,Daily!$A:$A,E276))</f>
        <v/>
      </c>
      <c r="O276" s="3">
        <f>IF(OR(M276="",F276=0),"",M276/F276*10000)</f>
        <v/>
      </c>
      <c r="P276" s="8" t="n"/>
      <c r="Q276" s="8" t="n"/>
      <c r="R276" s="6">
        <f>IF(OR(F276="",F276=0),"",N(I276)/F276)</f>
        <v/>
      </c>
      <c r="S276" s="3">
        <f>IF(OR(F276="",F276=0),"",(N(H276)+N(Q276))/F276*1000)</f>
        <v/>
      </c>
    </row>
    <row r="277">
      <c r="A277" s="8" t="n"/>
      <c r="B277" s="8" t="n"/>
      <c r="C277" s="8" t="n"/>
      <c r="D277" s="8" t="n"/>
      <c r="E277" s="9" t="n"/>
      <c r="F277" s="8" t="n"/>
      <c r="G277" s="8" t="n"/>
      <c r="H277" s="8" t="n"/>
      <c r="I277" s="8" t="n"/>
      <c r="J277" s="8" t="n"/>
      <c r="K277" s="10">
        <f>IF(OR(F277="",SUMIFS($F:$F,$B:$B,B277,$E:$E,E277)=0),"",IF(SUMIFS($I:$I,$B:$B,B277,$E:$E,E277)&gt;0,N(I277)/SUMIFS($I:$I,$B:$B,B277,$E:$E,E277),F277/SUMIFS($F:$F,$B:$B,B277,$E:$E,E277)))</f>
        <v/>
      </c>
      <c r="L277" s="3">
        <f>IF(K277="","",K277*SUMIFS(Daily!$D:$D,Daily!$B:$B,B277,Daily!$A:$A,E277)+N(J277))</f>
        <v/>
      </c>
      <c r="M277" s="3">
        <f>IF(K277="","",K277*SUMIFS(Daily!$G:$G,Daily!$B:$B,B277,Daily!$A:$A,E277))</f>
        <v/>
      </c>
      <c r="N277" s="3">
        <f>IF(K277="","",K277*SUMIFS(Daily!$H:$H,Daily!$B:$B,B277,Daily!$A:$A,E277))</f>
        <v/>
      </c>
      <c r="O277" s="3">
        <f>IF(OR(M277="",F277=0),"",M277/F277*10000)</f>
        <v/>
      </c>
      <c r="P277" s="8" t="n"/>
      <c r="Q277" s="8" t="n"/>
      <c r="R277" s="6">
        <f>IF(OR(F277="",F277=0),"",N(I277)/F277)</f>
        <v/>
      </c>
      <c r="S277" s="3">
        <f>IF(OR(F277="",F277=0),"",(N(H277)+N(Q277))/F277*1000)</f>
        <v/>
      </c>
    </row>
    <row r="278">
      <c r="A278" s="8" t="n"/>
      <c r="B278" s="8" t="n"/>
      <c r="C278" s="8" t="n"/>
      <c r="D278" s="8" t="n"/>
      <c r="E278" s="9" t="n"/>
      <c r="F278" s="8" t="n"/>
      <c r="G278" s="8" t="n"/>
      <c r="H278" s="8" t="n"/>
      <c r="I278" s="8" t="n"/>
      <c r="J278" s="8" t="n"/>
      <c r="K278" s="10">
        <f>IF(OR(F278="",SUMIFS($F:$F,$B:$B,B278,$E:$E,E278)=0),"",IF(SUMIFS($I:$I,$B:$B,B278,$E:$E,E278)&gt;0,N(I278)/SUMIFS($I:$I,$B:$B,B278,$E:$E,E278),F278/SUMIFS($F:$F,$B:$B,B278,$E:$E,E278)))</f>
        <v/>
      </c>
      <c r="L278" s="3">
        <f>IF(K278="","",K278*SUMIFS(Daily!$D:$D,Daily!$B:$B,B278,Daily!$A:$A,E278)+N(J278))</f>
        <v/>
      </c>
      <c r="M278" s="3">
        <f>IF(K278="","",K278*SUMIFS(Daily!$G:$G,Daily!$B:$B,B278,Daily!$A:$A,E278))</f>
        <v/>
      </c>
      <c r="N278" s="3">
        <f>IF(K278="","",K278*SUMIFS(Daily!$H:$H,Daily!$B:$B,B278,Daily!$A:$A,E278))</f>
        <v/>
      </c>
      <c r="O278" s="3">
        <f>IF(OR(M278="",F278=0),"",M278/F278*10000)</f>
        <v/>
      </c>
      <c r="P278" s="8" t="n"/>
      <c r="Q278" s="8" t="n"/>
      <c r="R278" s="6">
        <f>IF(OR(F278="",F278=0),"",N(I278)/F278)</f>
        <v/>
      </c>
      <c r="S278" s="3">
        <f>IF(OR(F278="",F278=0),"",(N(H278)+N(Q278))/F278*1000)</f>
        <v/>
      </c>
    </row>
    <row r="279">
      <c r="A279" s="8" t="n"/>
      <c r="B279" s="8" t="n"/>
      <c r="C279" s="8" t="n"/>
      <c r="D279" s="8" t="n"/>
      <c r="E279" s="9" t="n"/>
      <c r="F279" s="8" t="n"/>
      <c r="G279" s="8" t="n"/>
      <c r="H279" s="8" t="n"/>
      <c r="I279" s="8" t="n"/>
      <c r="J279" s="8" t="n"/>
      <c r="K279" s="10">
        <f>IF(OR(F279="",SUMIFS($F:$F,$B:$B,B279,$E:$E,E279)=0),"",IF(SUMIFS($I:$I,$B:$B,B279,$E:$E,E279)&gt;0,N(I279)/SUMIFS($I:$I,$B:$B,B279,$E:$E,E279),F279/SUMIFS($F:$F,$B:$B,B279,$E:$E,E279)))</f>
        <v/>
      </c>
      <c r="L279" s="3">
        <f>IF(K279="","",K279*SUMIFS(Daily!$D:$D,Daily!$B:$B,B279,Daily!$A:$A,E279)+N(J279))</f>
        <v/>
      </c>
      <c r="M279" s="3">
        <f>IF(K279="","",K279*SUMIFS(Daily!$G:$G,Daily!$B:$B,B279,Daily!$A:$A,E279))</f>
        <v/>
      </c>
      <c r="N279" s="3">
        <f>IF(K279="","",K279*SUMIFS(Daily!$H:$H,Daily!$B:$B,B279,Daily!$A:$A,E279))</f>
        <v/>
      </c>
      <c r="O279" s="3">
        <f>IF(OR(M279="",F279=0),"",M279/F279*10000)</f>
        <v/>
      </c>
      <c r="P279" s="8" t="n"/>
      <c r="Q279" s="8" t="n"/>
      <c r="R279" s="6">
        <f>IF(OR(F279="",F279=0),"",N(I279)/F279)</f>
        <v/>
      </c>
      <c r="S279" s="3">
        <f>IF(OR(F279="",F279=0),"",(N(H279)+N(Q279))/F279*1000)</f>
        <v/>
      </c>
    </row>
    <row r="280">
      <c r="A280" s="8" t="n"/>
      <c r="B280" s="8" t="n"/>
      <c r="C280" s="8" t="n"/>
      <c r="D280" s="8" t="n"/>
      <c r="E280" s="9" t="n"/>
      <c r="F280" s="8" t="n"/>
      <c r="G280" s="8" t="n"/>
      <c r="H280" s="8" t="n"/>
      <c r="I280" s="8" t="n"/>
      <c r="J280" s="8" t="n"/>
      <c r="K280" s="10">
        <f>IF(OR(F280="",SUMIFS($F:$F,$B:$B,B280,$E:$E,E280)=0),"",IF(SUMIFS($I:$I,$B:$B,B280,$E:$E,E280)&gt;0,N(I280)/SUMIFS($I:$I,$B:$B,B280,$E:$E,E280),F280/SUMIFS($F:$F,$B:$B,B280,$E:$E,E280)))</f>
        <v/>
      </c>
      <c r="L280" s="3">
        <f>IF(K280="","",K280*SUMIFS(Daily!$D:$D,Daily!$B:$B,B280,Daily!$A:$A,E280)+N(J280))</f>
        <v/>
      </c>
      <c r="M280" s="3">
        <f>IF(K280="","",K280*SUMIFS(Daily!$G:$G,Daily!$B:$B,B280,Daily!$A:$A,E280))</f>
        <v/>
      </c>
      <c r="N280" s="3">
        <f>IF(K280="","",K280*SUMIFS(Daily!$H:$H,Daily!$B:$B,B280,Daily!$A:$A,E280))</f>
        <v/>
      </c>
      <c r="O280" s="3">
        <f>IF(OR(M280="",F280=0),"",M280/F280*10000)</f>
        <v/>
      </c>
      <c r="P280" s="8" t="n"/>
      <c r="Q280" s="8" t="n"/>
      <c r="R280" s="6">
        <f>IF(OR(F280="",F280=0),"",N(I280)/F280)</f>
        <v/>
      </c>
      <c r="S280" s="3">
        <f>IF(OR(F280="",F280=0),"",(N(H280)+N(Q280))/F280*1000)</f>
        <v/>
      </c>
    </row>
    <row r="281">
      <c r="A281" s="8" t="n"/>
      <c r="B281" s="8" t="n"/>
      <c r="C281" s="8" t="n"/>
      <c r="D281" s="8" t="n"/>
      <c r="E281" s="9" t="n"/>
      <c r="F281" s="8" t="n"/>
      <c r="G281" s="8" t="n"/>
      <c r="H281" s="8" t="n"/>
      <c r="I281" s="8" t="n"/>
      <c r="J281" s="8" t="n"/>
      <c r="K281" s="10">
        <f>IF(OR(F281="",SUMIFS($F:$F,$B:$B,B281,$E:$E,E281)=0),"",IF(SUMIFS($I:$I,$B:$B,B281,$E:$E,E281)&gt;0,N(I281)/SUMIFS($I:$I,$B:$B,B281,$E:$E,E281),F281/SUMIFS($F:$F,$B:$B,B281,$E:$E,E281)))</f>
        <v/>
      </c>
      <c r="L281" s="3">
        <f>IF(K281="","",K281*SUMIFS(Daily!$D:$D,Daily!$B:$B,B281,Daily!$A:$A,E281)+N(J281))</f>
        <v/>
      </c>
      <c r="M281" s="3">
        <f>IF(K281="","",K281*SUMIFS(Daily!$G:$G,Daily!$B:$B,B281,Daily!$A:$A,E281))</f>
        <v/>
      </c>
      <c r="N281" s="3">
        <f>IF(K281="","",K281*SUMIFS(Daily!$H:$H,Daily!$B:$B,B281,Daily!$A:$A,E281))</f>
        <v/>
      </c>
      <c r="O281" s="3">
        <f>IF(OR(M281="",F281=0),"",M281/F281*10000)</f>
        <v/>
      </c>
      <c r="P281" s="8" t="n"/>
      <c r="Q281" s="8" t="n"/>
      <c r="R281" s="6">
        <f>IF(OR(F281="",F281=0),"",N(I281)/F281)</f>
        <v/>
      </c>
      <c r="S281" s="3">
        <f>IF(OR(F281="",F281=0),"",(N(H281)+N(Q281))/F281*1000)</f>
        <v/>
      </c>
    </row>
    <row r="282">
      <c r="A282" s="8" t="n"/>
      <c r="B282" s="8" t="n"/>
      <c r="C282" s="8" t="n"/>
      <c r="D282" s="8" t="n"/>
      <c r="E282" s="9" t="n"/>
      <c r="F282" s="8" t="n"/>
      <c r="G282" s="8" t="n"/>
      <c r="H282" s="8" t="n"/>
      <c r="I282" s="8" t="n"/>
      <c r="J282" s="8" t="n"/>
      <c r="K282" s="10">
        <f>IF(OR(F282="",SUMIFS($F:$F,$B:$B,B282,$E:$E,E282)=0),"",IF(SUMIFS($I:$I,$B:$B,B282,$E:$E,E282)&gt;0,N(I282)/SUMIFS($I:$I,$B:$B,B282,$E:$E,E282),F282/SUMIFS($F:$F,$B:$B,B282,$E:$E,E282)))</f>
        <v/>
      </c>
      <c r="L282" s="3">
        <f>IF(K282="","",K282*SUMIFS(Daily!$D:$D,Daily!$B:$B,B282,Daily!$A:$A,E282)+N(J282))</f>
        <v/>
      </c>
      <c r="M282" s="3">
        <f>IF(K282="","",K282*SUMIFS(Daily!$G:$G,Daily!$B:$B,B282,Daily!$A:$A,E282))</f>
        <v/>
      </c>
      <c r="N282" s="3">
        <f>IF(K282="","",K282*SUMIFS(Daily!$H:$H,Daily!$B:$B,B282,Daily!$A:$A,E282))</f>
        <v/>
      </c>
      <c r="O282" s="3">
        <f>IF(OR(M282="",F282=0),"",M282/F282*10000)</f>
        <v/>
      </c>
      <c r="P282" s="8" t="n"/>
      <c r="Q282" s="8" t="n"/>
      <c r="R282" s="6">
        <f>IF(OR(F282="",F282=0),"",N(I282)/F282)</f>
        <v/>
      </c>
      <c r="S282" s="3">
        <f>IF(OR(F282="",F282=0),"",(N(H282)+N(Q282))/F282*1000)</f>
        <v/>
      </c>
    </row>
    <row r="283">
      <c r="A283" s="8" t="n"/>
      <c r="B283" s="8" t="n"/>
      <c r="C283" s="8" t="n"/>
      <c r="D283" s="8" t="n"/>
      <c r="E283" s="9" t="n"/>
      <c r="F283" s="8" t="n"/>
      <c r="G283" s="8" t="n"/>
      <c r="H283" s="8" t="n"/>
      <c r="I283" s="8" t="n"/>
      <c r="J283" s="8" t="n"/>
      <c r="K283" s="10">
        <f>IF(OR(F283="",SUMIFS($F:$F,$B:$B,B283,$E:$E,E283)=0),"",IF(SUMIFS($I:$I,$B:$B,B283,$E:$E,E283)&gt;0,N(I283)/SUMIFS($I:$I,$B:$B,B283,$E:$E,E283),F283/SUMIFS($F:$F,$B:$B,B283,$E:$E,E283)))</f>
        <v/>
      </c>
      <c r="L283" s="3">
        <f>IF(K283="","",K283*SUMIFS(Daily!$D:$D,Daily!$B:$B,B283,Daily!$A:$A,E283)+N(J283))</f>
        <v/>
      </c>
      <c r="M283" s="3">
        <f>IF(K283="","",K283*SUMIFS(Daily!$G:$G,Daily!$B:$B,B283,Daily!$A:$A,E283))</f>
        <v/>
      </c>
      <c r="N283" s="3">
        <f>IF(K283="","",K283*SUMIFS(Daily!$H:$H,Daily!$B:$B,B283,Daily!$A:$A,E283))</f>
        <v/>
      </c>
      <c r="O283" s="3">
        <f>IF(OR(M283="",F283=0),"",M283/F283*10000)</f>
        <v/>
      </c>
      <c r="P283" s="8" t="n"/>
      <c r="Q283" s="8" t="n"/>
      <c r="R283" s="6">
        <f>IF(OR(F283="",F283=0),"",N(I283)/F283)</f>
        <v/>
      </c>
      <c r="S283" s="3">
        <f>IF(OR(F283="",F283=0),"",(N(H283)+N(Q283))/F283*1000)</f>
        <v/>
      </c>
    </row>
    <row r="284">
      <c r="A284" s="8" t="n"/>
      <c r="B284" s="8" t="n"/>
      <c r="C284" s="8" t="n"/>
      <c r="D284" s="8" t="n"/>
      <c r="E284" s="9" t="n"/>
      <c r="F284" s="8" t="n"/>
      <c r="G284" s="8" t="n"/>
      <c r="H284" s="8" t="n"/>
      <c r="I284" s="8" t="n"/>
      <c r="J284" s="8" t="n"/>
      <c r="K284" s="10">
        <f>IF(OR(F284="",SUMIFS($F:$F,$B:$B,B284,$E:$E,E284)=0),"",IF(SUMIFS($I:$I,$B:$B,B284,$E:$E,E284)&gt;0,N(I284)/SUMIFS($I:$I,$B:$B,B284,$E:$E,E284),F284/SUMIFS($F:$F,$B:$B,B284,$E:$E,E284)))</f>
        <v/>
      </c>
      <c r="L284" s="3">
        <f>IF(K284="","",K284*SUMIFS(Daily!$D:$D,Daily!$B:$B,B284,Daily!$A:$A,E284)+N(J284))</f>
        <v/>
      </c>
      <c r="M284" s="3">
        <f>IF(K284="","",K284*SUMIFS(Daily!$G:$G,Daily!$B:$B,B284,Daily!$A:$A,E284))</f>
        <v/>
      </c>
      <c r="N284" s="3">
        <f>IF(K284="","",K284*SUMIFS(Daily!$H:$H,Daily!$B:$B,B284,Daily!$A:$A,E284))</f>
        <v/>
      </c>
      <c r="O284" s="3">
        <f>IF(OR(M284="",F284=0),"",M284/F284*10000)</f>
        <v/>
      </c>
      <c r="P284" s="8" t="n"/>
      <c r="Q284" s="8" t="n"/>
      <c r="R284" s="6">
        <f>IF(OR(F284="",F284=0),"",N(I284)/F284)</f>
        <v/>
      </c>
      <c r="S284" s="3">
        <f>IF(OR(F284="",F284=0),"",(N(H284)+N(Q284))/F284*1000)</f>
        <v/>
      </c>
    </row>
    <row r="285">
      <c r="A285" s="8" t="n"/>
      <c r="B285" s="8" t="n"/>
      <c r="C285" s="8" t="n"/>
      <c r="D285" s="8" t="n"/>
      <c r="E285" s="9" t="n"/>
      <c r="F285" s="8" t="n"/>
      <c r="G285" s="8" t="n"/>
      <c r="H285" s="8" t="n"/>
      <c r="I285" s="8" t="n"/>
      <c r="J285" s="8" t="n"/>
      <c r="K285" s="10">
        <f>IF(OR(F285="",SUMIFS($F:$F,$B:$B,B285,$E:$E,E285)=0),"",IF(SUMIFS($I:$I,$B:$B,B285,$E:$E,E285)&gt;0,N(I285)/SUMIFS($I:$I,$B:$B,B285,$E:$E,E285),F285/SUMIFS($F:$F,$B:$B,B285,$E:$E,E285)))</f>
        <v/>
      </c>
      <c r="L285" s="3">
        <f>IF(K285="","",K285*SUMIFS(Daily!$D:$D,Daily!$B:$B,B285,Daily!$A:$A,E285)+N(J285))</f>
        <v/>
      </c>
      <c r="M285" s="3">
        <f>IF(K285="","",K285*SUMIFS(Daily!$G:$G,Daily!$B:$B,B285,Daily!$A:$A,E285))</f>
        <v/>
      </c>
      <c r="N285" s="3">
        <f>IF(K285="","",K285*SUMIFS(Daily!$H:$H,Daily!$B:$B,B285,Daily!$A:$A,E285))</f>
        <v/>
      </c>
      <c r="O285" s="3">
        <f>IF(OR(M285="",F285=0),"",M285/F285*10000)</f>
        <v/>
      </c>
      <c r="P285" s="8" t="n"/>
      <c r="Q285" s="8" t="n"/>
      <c r="R285" s="6">
        <f>IF(OR(F285="",F285=0),"",N(I285)/F285)</f>
        <v/>
      </c>
      <c r="S285" s="3">
        <f>IF(OR(F285="",F285=0),"",(N(H285)+N(Q285))/F285*1000)</f>
        <v/>
      </c>
    </row>
    <row r="286">
      <c r="A286" s="8" t="n"/>
      <c r="B286" s="8" t="n"/>
      <c r="C286" s="8" t="n"/>
      <c r="D286" s="8" t="n"/>
      <c r="E286" s="9" t="n"/>
      <c r="F286" s="8" t="n"/>
      <c r="G286" s="8" t="n"/>
      <c r="H286" s="8" t="n"/>
      <c r="I286" s="8" t="n"/>
      <c r="J286" s="8" t="n"/>
      <c r="K286" s="10">
        <f>IF(OR(F286="",SUMIFS($F:$F,$B:$B,B286,$E:$E,E286)=0),"",IF(SUMIFS($I:$I,$B:$B,B286,$E:$E,E286)&gt;0,N(I286)/SUMIFS($I:$I,$B:$B,B286,$E:$E,E286),F286/SUMIFS($F:$F,$B:$B,B286,$E:$E,E286)))</f>
        <v/>
      </c>
      <c r="L286" s="3">
        <f>IF(K286="","",K286*SUMIFS(Daily!$D:$D,Daily!$B:$B,B286,Daily!$A:$A,E286)+N(J286))</f>
        <v/>
      </c>
      <c r="M286" s="3">
        <f>IF(K286="","",K286*SUMIFS(Daily!$G:$G,Daily!$B:$B,B286,Daily!$A:$A,E286))</f>
        <v/>
      </c>
      <c r="N286" s="3">
        <f>IF(K286="","",K286*SUMIFS(Daily!$H:$H,Daily!$B:$B,B286,Daily!$A:$A,E286))</f>
        <v/>
      </c>
      <c r="O286" s="3">
        <f>IF(OR(M286="",F286=0),"",M286/F286*10000)</f>
        <v/>
      </c>
      <c r="P286" s="8" t="n"/>
      <c r="Q286" s="8" t="n"/>
      <c r="R286" s="6">
        <f>IF(OR(F286="",F286=0),"",N(I286)/F286)</f>
        <v/>
      </c>
      <c r="S286" s="3">
        <f>IF(OR(F286="",F286=0),"",(N(H286)+N(Q286))/F286*1000)</f>
        <v/>
      </c>
    </row>
    <row r="287">
      <c r="A287" s="8" t="n"/>
      <c r="B287" s="8" t="n"/>
      <c r="C287" s="8" t="n"/>
      <c r="D287" s="8" t="n"/>
      <c r="E287" s="9" t="n"/>
      <c r="F287" s="8" t="n"/>
      <c r="G287" s="8" t="n"/>
      <c r="H287" s="8" t="n"/>
      <c r="I287" s="8" t="n"/>
      <c r="J287" s="8" t="n"/>
      <c r="K287" s="10">
        <f>IF(OR(F287="",SUMIFS($F:$F,$B:$B,B287,$E:$E,E287)=0),"",IF(SUMIFS($I:$I,$B:$B,B287,$E:$E,E287)&gt;0,N(I287)/SUMIFS($I:$I,$B:$B,B287,$E:$E,E287),F287/SUMIFS($F:$F,$B:$B,B287,$E:$E,E287)))</f>
        <v/>
      </c>
      <c r="L287" s="3">
        <f>IF(K287="","",K287*SUMIFS(Daily!$D:$D,Daily!$B:$B,B287,Daily!$A:$A,E287)+N(J287))</f>
        <v/>
      </c>
      <c r="M287" s="3">
        <f>IF(K287="","",K287*SUMIFS(Daily!$G:$G,Daily!$B:$B,B287,Daily!$A:$A,E287))</f>
        <v/>
      </c>
      <c r="N287" s="3">
        <f>IF(K287="","",K287*SUMIFS(Daily!$H:$H,Daily!$B:$B,B287,Daily!$A:$A,E287))</f>
        <v/>
      </c>
      <c r="O287" s="3">
        <f>IF(OR(M287="",F287=0),"",M287/F287*10000)</f>
        <v/>
      </c>
      <c r="P287" s="8" t="n"/>
      <c r="Q287" s="8" t="n"/>
      <c r="R287" s="6">
        <f>IF(OR(F287="",F287=0),"",N(I287)/F287)</f>
        <v/>
      </c>
      <c r="S287" s="3">
        <f>IF(OR(F287="",F287=0),"",(N(H287)+N(Q287))/F287*1000)</f>
        <v/>
      </c>
    </row>
    <row r="288">
      <c r="A288" s="8" t="n"/>
      <c r="B288" s="8" t="n"/>
      <c r="C288" s="8" t="n"/>
      <c r="D288" s="8" t="n"/>
      <c r="E288" s="9" t="n"/>
      <c r="F288" s="8" t="n"/>
      <c r="G288" s="8" t="n"/>
      <c r="H288" s="8" t="n"/>
      <c r="I288" s="8" t="n"/>
      <c r="J288" s="8" t="n"/>
      <c r="K288" s="10">
        <f>IF(OR(F288="",SUMIFS($F:$F,$B:$B,B288,$E:$E,E288)=0),"",IF(SUMIFS($I:$I,$B:$B,B288,$E:$E,E288)&gt;0,N(I288)/SUMIFS($I:$I,$B:$B,B288,$E:$E,E288),F288/SUMIFS($F:$F,$B:$B,B288,$E:$E,E288)))</f>
        <v/>
      </c>
      <c r="L288" s="3">
        <f>IF(K288="","",K288*SUMIFS(Daily!$D:$D,Daily!$B:$B,B288,Daily!$A:$A,E288)+N(J288))</f>
        <v/>
      </c>
      <c r="M288" s="3">
        <f>IF(K288="","",K288*SUMIFS(Daily!$G:$G,Daily!$B:$B,B288,Daily!$A:$A,E288))</f>
        <v/>
      </c>
      <c r="N288" s="3">
        <f>IF(K288="","",K288*SUMIFS(Daily!$H:$H,Daily!$B:$B,B288,Daily!$A:$A,E288))</f>
        <v/>
      </c>
      <c r="O288" s="3">
        <f>IF(OR(M288="",F288=0),"",M288/F288*10000)</f>
        <v/>
      </c>
      <c r="P288" s="8" t="n"/>
      <c r="Q288" s="8" t="n"/>
      <c r="R288" s="6">
        <f>IF(OR(F288="",F288=0),"",N(I288)/F288)</f>
        <v/>
      </c>
      <c r="S288" s="3">
        <f>IF(OR(F288="",F288=0),"",(N(H288)+N(Q288))/F288*1000)</f>
        <v/>
      </c>
    </row>
    <row r="289">
      <c r="A289" s="8" t="n"/>
      <c r="B289" s="8" t="n"/>
      <c r="C289" s="8" t="n"/>
      <c r="D289" s="8" t="n"/>
      <c r="E289" s="9" t="n"/>
      <c r="F289" s="8" t="n"/>
      <c r="G289" s="8" t="n"/>
      <c r="H289" s="8" t="n"/>
      <c r="I289" s="8" t="n"/>
      <c r="J289" s="8" t="n"/>
      <c r="K289" s="10">
        <f>IF(OR(F289="",SUMIFS($F:$F,$B:$B,B289,$E:$E,E289)=0),"",IF(SUMIFS($I:$I,$B:$B,B289,$E:$E,E289)&gt;0,N(I289)/SUMIFS($I:$I,$B:$B,B289,$E:$E,E289),F289/SUMIFS($F:$F,$B:$B,B289,$E:$E,E289)))</f>
        <v/>
      </c>
      <c r="L289" s="3">
        <f>IF(K289="","",K289*SUMIFS(Daily!$D:$D,Daily!$B:$B,B289,Daily!$A:$A,E289)+N(J289))</f>
        <v/>
      </c>
      <c r="M289" s="3">
        <f>IF(K289="","",K289*SUMIFS(Daily!$G:$G,Daily!$B:$B,B289,Daily!$A:$A,E289))</f>
        <v/>
      </c>
      <c r="N289" s="3">
        <f>IF(K289="","",K289*SUMIFS(Daily!$H:$H,Daily!$B:$B,B289,Daily!$A:$A,E289))</f>
        <v/>
      </c>
      <c r="O289" s="3">
        <f>IF(OR(M289="",F289=0),"",M289/F289*10000)</f>
        <v/>
      </c>
      <c r="P289" s="8" t="n"/>
      <c r="Q289" s="8" t="n"/>
      <c r="R289" s="6">
        <f>IF(OR(F289="",F289=0),"",N(I289)/F289)</f>
        <v/>
      </c>
      <c r="S289" s="3">
        <f>IF(OR(F289="",F289=0),"",(N(H289)+N(Q289))/F289*1000)</f>
        <v/>
      </c>
    </row>
    <row r="290">
      <c r="A290" s="8" t="n"/>
      <c r="B290" s="8" t="n"/>
      <c r="C290" s="8" t="n"/>
      <c r="D290" s="8" t="n"/>
      <c r="E290" s="9" t="n"/>
      <c r="F290" s="8" t="n"/>
      <c r="G290" s="8" t="n"/>
      <c r="H290" s="8" t="n"/>
      <c r="I290" s="8" t="n"/>
      <c r="J290" s="8" t="n"/>
      <c r="K290" s="10">
        <f>IF(OR(F290="",SUMIFS($F:$F,$B:$B,B290,$E:$E,E290)=0),"",IF(SUMIFS($I:$I,$B:$B,B290,$E:$E,E290)&gt;0,N(I290)/SUMIFS($I:$I,$B:$B,B290,$E:$E,E290),F290/SUMIFS($F:$F,$B:$B,B290,$E:$E,E290)))</f>
        <v/>
      </c>
      <c r="L290" s="3">
        <f>IF(K290="","",K290*SUMIFS(Daily!$D:$D,Daily!$B:$B,B290,Daily!$A:$A,E290)+N(J290))</f>
        <v/>
      </c>
      <c r="M290" s="3">
        <f>IF(K290="","",K290*SUMIFS(Daily!$G:$G,Daily!$B:$B,B290,Daily!$A:$A,E290))</f>
        <v/>
      </c>
      <c r="N290" s="3">
        <f>IF(K290="","",K290*SUMIFS(Daily!$H:$H,Daily!$B:$B,B290,Daily!$A:$A,E290))</f>
        <v/>
      </c>
      <c r="O290" s="3">
        <f>IF(OR(M290="",F290=0),"",M290/F290*10000)</f>
        <v/>
      </c>
      <c r="P290" s="8" t="n"/>
      <c r="Q290" s="8" t="n"/>
      <c r="R290" s="6">
        <f>IF(OR(F290="",F290=0),"",N(I290)/F290)</f>
        <v/>
      </c>
      <c r="S290" s="3">
        <f>IF(OR(F290="",F290=0),"",(N(H290)+N(Q290))/F290*1000)</f>
        <v/>
      </c>
    </row>
    <row r="291">
      <c r="A291" s="8" t="n"/>
      <c r="B291" s="8" t="n"/>
      <c r="C291" s="8" t="n"/>
      <c r="D291" s="8" t="n"/>
      <c r="E291" s="9" t="n"/>
      <c r="F291" s="8" t="n"/>
      <c r="G291" s="8" t="n"/>
      <c r="H291" s="8" t="n"/>
      <c r="I291" s="8" t="n"/>
      <c r="J291" s="8" t="n"/>
      <c r="K291" s="10">
        <f>IF(OR(F291="",SUMIFS($F:$F,$B:$B,B291,$E:$E,E291)=0),"",IF(SUMIFS($I:$I,$B:$B,B291,$E:$E,E291)&gt;0,N(I291)/SUMIFS($I:$I,$B:$B,B291,$E:$E,E291),F291/SUMIFS($F:$F,$B:$B,B291,$E:$E,E291)))</f>
        <v/>
      </c>
      <c r="L291" s="3">
        <f>IF(K291="","",K291*SUMIFS(Daily!$D:$D,Daily!$B:$B,B291,Daily!$A:$A,E291)+N(J291))</f>
        <v/>
      </c>
      <c r="M291" s="3">
        <f>IF(K291="","",K291*SUMIFS(Daily!$G:$G,Daily!$B:$B,B291,Daily!$A:$A,E291))</f>
        <v/>
      </c>
      <c r="N291" s="3">
        <f>IF(K291="","",K291*SUMIFS(Daily!$H:$H,Daily!$B:$B,B291,Daily!$A:$A,E291))</f>
        <v/>
      </c>
      <c r="O291" s="3">
        <f>IF(OR(M291="",F291=0),"",M291/F291*10000)</f>
        <v/>
      </c>
      <c r="P291" s="8" t="n"/>
      <c r="Q291" s="8" t="n"/>
      <c r="R291" s="6">
        <f>IF(OR(F291="",F291=0),"",N(I291)/F291)</f>
        <v/>
      </c>
      <c r="S291" s="3">
        <f>IF(OR(F291="",F291=0),"",(N(H291)+N(Q291))/F291*1000)</f>
        <v/>
      </c>
    </row>
    <row r="292">
      <c r="A292" s="8" t="n"/>
      <c r="B292" s="8" t="n"/>
      <c r="C292" s="8" t="n"/>
      <c r="D292" s="8" t="n"/>
      <c r="E292" s="9" t="n"/>
      <c r="F292" s="8" t="n"/>
      <c r="G292" s="8" t="n"/>
      <c r="H292" s="8" t="n"/>
      <c r="I292" s="8" t="n"/>
      <c r="J292" s="8" t="n"/>
      <c r="K292" s="10">
        <f>IF(OR(F292="",SUMIFS($F:$F,$B:$B,B292,$E:$E,E292)=0),"",IF(SUMIFS($I:$I,$B:$B,B292,$E:$E,E292)&gt;0,N(I292)/SUMIFS($I:$I,$B:$B,B292,$E:$E,E292),F292/SUMIFS($F:$F,$B:$B,B292,$E:$E,E292)))</f>
        <v/>
      </c>
      <c r="L292" s="3">
        <f>IF(K292="","",K292*SUMIFS(Daily!$D:$D,Daily!$B:$B,B292,Daily!$A:$A,E292)+N(J292))</f>
        <v/>
      </c>
      <c r="M292" s="3">
        <f>IF(K292="","",K292*SUMIFS(Daily!$G:$G,Daily!$B:$B,B292,Daily!$A:$A,E292))</f>
        <v/>
      </c>
      <c r="N292" s="3">
        <f>IF(K292="","",K292*SUMIFS(Daily!$H:$H,Daily!$B:$B,B292,Daily!$A:$A,E292))</f>
        <v/>
      </c>
      <c r="O292" s="3">
        <f>IF(OR(M292="",F292=0),"",M292/F292*10000)</f>
        <v/>
      </c>
      <c r="P292" s="8" t="n"/>
      <c r="Q292" s="8" t="n"/>
      <c r="R292" s="6">
        <f>IF(OR(F292="",F292=0),"",N(I292)/F292)</f>
        <v/>
      </c>
      <c r="S292" s="3">
        <f>IF(OR(F292="",F292=0),"",(N(H292)+N(Q292))/F292*1000)</f>
        <v/>
      </c>
    </row>
    <row r="293">
      <c r="A293" s="8" t="n"/>
      <c r="B293" s="8" t="n"/>
      <c r="C293" s="8" t="n"/>
      <c r="D293" s="8" t="n"/>
      <c r="E293" s="9" t="n"/>
      <c r="F293" s="8" t="n"/>
      <c r="G293" s="8" t="n"/>
      <c r="H293" s="8" t="n"/>
      <c r="I293" s="8" t="n"/>
      <c r="J293" s="8" t="n"/>
      <c r="K293" s="10">
        <f>IF(OR(F293="",SUMIFS($F:$F,$B:$B,B293,$E:$E,E293)=0),"",IF(SUMIFS($I:$I,$B:$B,B293,$E:$E,E293)&gt;0,N(I293)/SUMIFS($I:$I,$B:$B,B293,$E:$E,E293),F293/SUMIFS($F:$F,$B:$B,B293,$E:$E,E293)))</f>
        <v/>
      </c>
      <c r="L293" s="3">
        <f>IF(K293="","",K293*SUMIFS(Daily!$D:$D,Daily!$B:$B,B293,Daily!$A:$A,E293)+N(J293))</f>
        <v/>
      </c>
      <c r="M293" s="3">
        <f>IF(K293="","",K293*SUMIFS(Daily!$G:$G,Daily!$B:$B,B293,Daily!$A:$A,E293))</f>
        <v/>
      </c>
      <c r="N293" s="3">
        <f>IF(K293="","",K293*SUMIFS(Daily!$H:$H,Daily!$B:$B,B293,Daily!$A:$A,E293))</f>
        <v/>
      </c>
      <c r="O293" s="3">
        <f>IF(OR(M293="",F293=0),"",M293/F293*10000)</f>
        <v/>
      </c>
      <c r="P293" s="8" t="n"/>
      <c r="Q293" s="8" t="n"/>
      <c r="R293" s="6">
        <f>IF(OR(F293="",F293=0),"",N(I293)/F293)</f>
        <v/>
      </c>
      <c r="S293" s="3">
        <f>IF(OR(F293="",F293=0),"",(N(H293)+N(Q293))/F293*1000)</f>
        <v/>
      </c>
    </row>
    <row r="294">
      <c r="A294" s="8" t="n"/>
      <c r="B294" s="8" t="n"/>
      <c r="C294" s="8" t="n"/>
      <c r="D294" s="8" t="n"/>
      <c r="E294" s="9" t="n"/>
      <c r="F294" s="8" t="n"/>
      <c r="G294" s="8" t="n"/>
      <c r="H294" s="8" t="n"/>
      <c r="I294" s="8" t="n"/>
      <c r="J294" s="8" t="n"/>
      <c r="K294" s="10">
        <f>IF(OR(F294="",SUMIFS($F:$F,$B:$B,B294,$E:$E,E294)=0),"",IF(SUMIFS($I:$I,$B:$B,B294,$E:$E,E294)&gt;0,N(I294)/SUMIFS($I:$I,$B:$B,B294,$E:$E,E294),F294/SUMIFS($F:$F,$B:$B,B294,$E:$E,E294)))</f>
        <v/>
      </c>
      <c r="L294" s="3">
        <f>IF(K294="","",K294*SUMIFS(Daily!$D:$D,Daily!$B:$B,B294,Daily!$A:$A,E294)+N(J294))</f>
        <v/>
      </c>
      <c r="M294" s="3">
        <f>IF(K294="","",K294*SUMIFS(Daily!$G:$G,Daily!$B:$B,B294,Daily!$A:$A,E294))</f>
        <v/>
      </c>
      <c r="N294" s="3">
        <f>IF(K294="","",K294*SUMIFS(Daily!$H:$H,Daily!$B:$B,B294,Daily!$A:$A,E294))</f>
        <v/>
      </c>
      <c r="O294" s="3">
        <f>IF(OR(M294="",F294=0),"",M294/F294*10000)</f>
        <v/>
      </c>
      <c r="P294" s="8" t="n"/>
      <c r="Q294" s="8" t="n"/>
      <c r="R294" s="6">
        <f>IF(OR(F294="",F294=0),"",N(I294)/F294)</f>
        <v/>
      </c>
      <c r="S294" s="3">
        <f>IF(OR(F294="",F294=0),"",(N(H294)+N(Q294))/F294*1000)</f>
        <v/>
      </c>
    </row>
    <row r="295">
      <c r="A295" s="8" t="n"/>
      <c r="B295" s="8" t="n"/>
      <c r="C295" s="8" t="n"/>
      <c r="D295" s="8" t="n"/>
      <c r="E295" s="9" t="n"/>
      <c r="F295" s="8" t="n"/>
      <c r="G295" s="8" t="n"/>
      <c r="H295" s="8" t="n"/>
      <c r="I295" s="8" t="n"/>
      <c r="J295" s="8" t="n"/>
      <c r="K295" s="10">
        <f>IF(OR(F295="",SUMIFS($F:$F,$B:$B,B295,$E:$E,E295)=0),"",IF(SUMIFS($I:$I,$B:$B,B295,$E:$E,E295)&gt;0,N(I295)/SUMIFS($I:$I,$B:$B,B295,$E:$E,E295),F295/SUMIFS($F:$F,$B:$B,B295,$E:$E,E295)))</f>
        <v/>
      </c>
      <c r="L295" s="3">
        <f>IF(K295="","",K295*SUMIFS(Daily!$D:$D,Daily!$B:$B,B295,Daily!$A:$A,E295)+N(J295))</f>
        <v/>
      </c>
      <c r="M295" s="3">
        <f>IF(K295="","",K295*SUMIFS(Daily!$G:$G,Daily!$B:$B,B295,Daily!$A:$A,E295))</f>
        <v/>
      </c>
      <c r="N295" s="3">
        <f>IF(K295="","",K295*SUMIFS(Daily!$H:$H,Daily!$B:$B,B295,Daily!$A:$A,E295))</f>
        <v/>
      </c>
      <c r="O295" s="3">
        <f>IF(OR(M295="",F295=0),"",M295/F295*10000)</f>
        <v/>
      </c>
      <c r="P295" s="8" t="n"/>
      <c r="Q295" s="8" t="n"/>
      <c r="R295" s="6">
        <f>IF(OR(F295="",F295=0),"",N(I295)/F295)</f>
        <v/>
      </c>
      <c r="S295" s="3">
        <f>IF(OR(F295="",F295=0),"",(N(H295)+N(Q295))/F295*1000)</f>
        <v/>
      </c>
    </row>
    <row r="296">
      <c r="A296" s="8" t="n"/>
      <c r="B296" s="8" t="n"/>
      <c r="C296" s="8" t="n"/>
      <c r="D296" s="8" t="n"/>
      <c r="E296" s="9" t="n"/>
      <c r="F296" s="8" t="n"/>
      <c r="G296" s="8" t="n"/>
      <c r="H296" s="8" t="n"/>
      <c r="I296" s="8" t="n"/>
      <c r="J296" s="8" t="n"/>
      <c r="K296" s="10">
        <f>IF(OR(F296="",SUMIFS($F:$F,$B:$B,B296,$E:$E,E296)=0),"",IF(SUMIFS($I:$I,$B:$B,B296,$E:$E,E296)&gt;0,N(I296)/SUMIFS($I:$I,$B:$B,B296,$E:$E,E296),F296/SUMIFS($F:$F,$B:$B,B296,$E:$E,E296)))</f>
        <v/>
      </c>
      <c r="L296" s="3">
        <f>IF(K296="","",K296*SUMIFS(Daily!$D:$D,Daily!$B:$B,B296,Daily!$A:$A,E296)+N(J296))</f>
        <v/>
      </c>
      <c r="M296" s="3">
        <f>IF(K296="","",K296*SUMIFS(Daily!$G:$G,Daily!$B:$B,B296,Daily!$A:$A,E296))</f>
        <v/>
      </c>
      <c r="N296" s="3">
        <f>IF(K296="","",K296*SUMIFS(Daily!$H:$H,Daily!$B:$B,B296,Daily!$A:$A,E296))</f>
        <v/>
      </c>
      <c r="O296" s="3">
        <f>IF(OR(M296="",F296=0),"",M296/F296*10000)</f>
        <v/>
      </c>
      <c r="P296" s="8" t="n"/>
      <c r="Q296" s="8" t="n"/>
      <c r="R296" s="6">
        <f>IF(OR(F296="",F296=0),"",N(I296)/F296)</f>
        <v/>
      </c>
      <c r="S296" s="3">
        <f>IF(OR(F296="",F296=0),"",(N(H296)+N(Q296))/F296*1000)</f>
        <v/>
      </c>
    </row>
    <row r="297">
      <c r="A297" s="8" t="n"/>
      <c r="B297" s="8" t="n"/>
      <c r="C297" s="8" t="n"/>
      <c r="D297" s="8" t="n"/>
      <c r="E297" s="9" t="n"/>
      <c r="F297" s="8" t="n"/>
      <c r="G297" s="8" t="n"/>
      <c r="H297" s="8" t="n"/>
      <c r="I297" s="8" t="n"/>
      <c r="J297" s="8" t="n"/>
      <c r="K297" s="10">
        <f>IF(OR(F297="",SUMIFS($F:$F,$B:$B,B297,$E:$E,E297)=0),"",IF(SUMIFS($I:$I,$B:$B,B297,$E:$E,E297)&gt;0,N(I297)/SUMIFS($I:$I,$B:$B,B297,$E:$E,E297),F297/SUMIFS($F:$F,$B:$B,B297,$E:$E,E297)))</f>
        <v/>
      </c>
      <c r="L297" s="3">
        <f>IF(K297="","",K297*SUMIFS(Daily!$D:$D,Daily!$B:$B,B297,Daily!$A:$A,E297)+N(J297))</f>
        <v/>
      </c>
      <c r="M297" s="3">
        <f>IF(K297="","",K297*SUMIFS(Daily!$G:$G,Daily!$B:$B,B297,Daily!$A:$A,E297))</f>
        <v/>
      </c>
      <c r="N297" s="3">
        <f>IF(K297="","",K297*SUMIFS(Daily!$H:$H,Daily!$B:$B,B297,Daily!$A:$A,E297))</f>
        <v/>
      </c>
      <c r="O297" s="3">
        <f>IF(OR(M297="",F297=0),"",M297/F297*10000)</f>
        <v/>
      </c>
      <c r="P297" s="8" t="n"/>
      <c r="Q297" s="8" t="n"/>
      <c r="R297" s="6">
        <f>IF(OR(F297="",F297=0),"",N(I297)/F297)</f>
        <v/>
      </c>
      <c r="S297" s="3">
        <f>IF(OR(F297="",F297=0),"",(N(H297)+N(Q297))/F297*1000)</f>
        <v/>
      </c>
    </row>
    <row r="298">
      <c r="A298" s="8" t="n"/>
      <c r="B298" s="8" t="n"/>
      <c r="C298" s="8" t="n"/>
      <c r="D298" s="8" t="n"/>
      <c r="E298" s="9" t="n"/>
      <c r="F298" s="8" t="n"/>
      <c r="G298" s="8" t="n"/>
      <c r="H298" s="8" t="n"/>
      <c r="I298" s="8" t="n"/>
      <c r="J298" s="8" t="n"/>
      <c r="K298" s="10">
        <f>IF(OR(F298="",SUMIFS($F:$F,$B:$B,B298,$E:$E,E298)=0),"",IF(SUMIFS($I:$I,$B:$B,B298,$E:$E,E298)&gt;0,N(I298)/SUMIFS($I:$I,$B:$B,B298,$E:$E,E298),F298/SUMIFS($F:$F,$B:$B,B298,$E:$E,E298)))</f>
        <v/>
      </c>
      <c r="L298" s="3">
        <f>IF(K298="","",K298*SUMIFS(Daily!$D:$D,Daily!$B:$B,B298,Daily!$A:$A,E298)+N(J298))</f>
        <v/>
      </c>
      <c r="M298" s="3">
        <f>IF(K298="","",K298*SUMIFS(Daily!$G:$G,Daily!$B:$B,B298,Daily!$A:$A,E298))</f>
        <v/>
      </c>
      <c r="N298" s="3">
        <f>IF(K298="","",K298*SUMIFS(Daily!$H:$H,Daily!$B:$B,B298,Daily!$A:$A,E298))</f>
        <v/>
      </c>
      <c r="O298" s="3">
        <f>IF(OR(M298="",F298=0),"",M298/F298*10000)</f>
        <v/>
      </c>
      <c r="P298" s="8" t="n"/>
      <c r="Q298" s="8" t="n"/>
      <c r="R298" s="6">
        <f>IF(OR(F298="",F298=0),"",N(I298)/F298)</f>
        <v/>
      </c>
      <c r="S298" s="3">
        <f>IF(OR(F298="",F298=0),"",(N(H298)+N(Q298))/F298*1000)</f>
        <v/>
      </c>
    </row>
    <row r="299">
      <c r="A299" s="8" t="n"/>
      <c r="B299" s="8" t="n"/>
      <c r="C299" s="8" t="n"/>
      <c r="D299" s="8" t="n"/>
      <c r="E299" s="9" t="n"/>
      <c r="F299" s="8" t="n"/>
      <c r="G299" s="8" t="n"/>
      <c r="H299" s="8" t="n"/>
      <c r="I299" s="8" t="n"/>
      <c r="J299" s="8" t="n"/>
      <c r="K299" s="10">
        <f>IF(OR(F299="",SUMIFS($F:$F,$B:$B,B299,$E:$E,E299)=0),"",IF(SUMIFS($I:$I,$B:$B,B299,$E:$E,E299)&gt;0,N(I299)/SUMIFS($I:$I,$B:$B,B299,$E:$E,E299),F299/SUMIFS($F:$F,$B:$B,B299,$E:$E,E299)))</f>
        <v/>
      </c>
      <c r="L299" s="3">
        <f>IF(K299="","",K299*SUMIFS(Daily!$D:$D,Daily!$B:$B,B299,Daily!$A:$A,E299)+N(J299))</f>
        <v/>
      </c>
      <c r="M299" s="3">
        <f>IF(K299="","",K299*SUMIFS(Daily!$G:$G,Daily!$B:$B,B299,Daily!$A:$A,E299))</f>
        <v/>
      </c>
      <c r="N299" s="3">
        <f>IF(K299="","",K299*SUMIFS(Daily!$H:$H,Daily!$B:$B,B299,Daily!$A:$A,E299))</f>
        <v/>
      </c>
      <c r="O299" s="3">
        <f>IF(OR(M299="",F299=0),"",M299/F299*10000)</f>
        <v/>
      </c>
      <c r="P299" s="8" t="n"/>
      <c r="Q299" s="8" t="n"/>
      <c r="R299" s="6">
        <f>IF(OR(F299="",F299=0),"",N(I299)/F299)</f>
        <v/>
      </c>
      <c r="S299" s="3">
        <f>IF(OR(F299="",F299=0),"",(N(H299)+N(Q299))/F299*1000)</f>
        <v/>
      </c>
    </row>
    <row r="300">
      <c r="A300" s="8" t="n"/>
      <c r="B300" s="8" t="n"/>
      <c r="C300" s="8" t="n"/>
      <c r="D300" s="8" t="n"/>
      <c r="E300" s="9" t="n"/>
      <c r="F300" s="8" t="n"/>
      <c r="G300" s="8" t="n"/>
      <c r="H300" s="8" t="n"/>
      <c r="I300" s="8" t="n"/>
      <c r="J300" s="8" t="n"/>
      <c r="K300" s="10">
        <f>IF(OR(F300="",SUMIFS($F:$F,$B:$B,B300,$E:$E,E300)=0),"",IF(SUMIFS($I:$I,$B:$B,B300,$E:$E,E300)&gt;0,N(I300)/SUMIFS($I:$I,$B:$B,B300,$E:$E,E300),F300/SUMIFS($F:$F,$B:$B,B300,$E:$E,E300)))</f>
        <v/>
      </c>
      <c r="L300" s="3">
        <f>IF(K300="","",K300*SUMIFS(Daily!$D:$D,Daily!$B:$B,B300,Daily!$A:$A,E300)+N(J300))</f>
        <v/>
      </c>
      <c r="M300" s="3">
        <f>IF(K300="","",K300*SUMIFS(Daily!$G:$G,Daily!$B:$B,B300,Daily!$A:$A,E300))</f>
        <v/>
      </c>
      <c r="N300" s="3">
        <f>IF(K300="","",K300*SUMIFS(Daily!$H:$H,Daily!$B:$B,B300,Daily!$A:$A,E300))</f>
        <v/>
      </c>
      <c r="O300" s="3">
        <f>IF(OR(M300="",F300=0),"",M300/F300*10000)</f>
        <v/>
      </c>
      <c r="P300" s="8" t="n"/>
      <c r="Q300" s="8" t="n"/>
      <c r="R300" s="6">
        <f>IF(OR(F300="",F300=0),"",N(I300)/F300)</f>
        <v/>
      </c>
      <c r="S300" s="3">
        <f>IF(OR(F300="",F300=0),"",(N(H300)+N(Q300))/F300*1000)</f>
        <v/>
      </c>
    </row>
    <row r="301">
      <c r="A301" s="8" t="n"/>
      <c r="B301" s="8" t="n"/>
      <c r="C301" s="8" t="n"/>
      <c r="D301" s="8" t="n"/>
      <c r="E301" s="9" t="n"/>
      <c r="F301" s="8" t="n"/>
      <c r="G301" s="8" t="n"/>
      <c r="H301" s="8" t="n"/>
      <c r="I301" s="8" t="n"/>
      <c r="J301" s="8" t="n"/>
      <c r="K301" s="10">
        <f>IF(OR(F301="",SUMIFS($F:$F,$B:$B,B301,$E:$E,E301)=0),"",IF(SUMIFS($I:$I,$B:$B,B301,$E:$E,E301)&gt;0,N(I301)/SUMIFS($I:$I,$B:$B,B301,$E:$E,E301),F301/SUMIFS($F:$F,$B:$B,B301,$E:$E,E301)))</f>
        <v/>
      </c>
      <c r="L301" s="3">
        <f>IF(K301="","",K301*SUMIFS(Daily!$D:$D,Daily!$B:$B,B301,Daily!$A:$A,E301)+N(J301))</f>
        <v/>
      </c>
      <c r="M301" s="3">
        <f>IF(K301="","",K301*SUMIFS(Daily!$G:$G,Daily!$B:$B,B301,Daily!$A:$A,E301))</f>
        <v/>
      </c>
      <c r="N301" s="3">
        <f>IF(K301="","",K301*SUMIFS(Daily!$H:$H,Daily!$B:$B,B301,Daily!$A:$A,E301))</f>
        <v/>
      </c>
      <c r="O301" s="3">
        <f>IF(OR(M301="",F301=0),"",M301/F301*10000)</f>
        <v/>
      </c>
      <c r="P301" s="8" t="n"/>
      <c r="Q301" s="8" t="n"/>
      <c r="R301" s="6">
        <f>IF(OR(F301="",F301=0),"",N(I301)/F301)</f>
        <v/>
      </c>
      <c r="S301" s="3">
        <f>IF(OR(F301="",F301=0),"",(N(H301)+N(Q301))/F301*1000)</f>
        <v/>
      </c>
    </row>
    <row r="302">
      <c r="A302" s="8" t="n"/>
      <c r="B302" s="8" t="n"/>
      <c r="C302" s="8" t="n"/>
      <c r="D302" s="8" t="n"/>
      <c r="E302" s="9" t="n"/>
      <c r="F302" s="8" t="n"/>
      <c r="G302" s="8" t="n"/>
      <c r="H302" s="8" t="n"/>
      <c r="I302" s="8" t="n"/>
      <c r="J302" s="8" t="n"/>
      <c r="K302" s="10">
        <f>IF(OR(F302="",SUMIFS($F:$F,$B:$B,B302,$E:$E,E302)=0),"",IF(SUMIFS($I:$I,$B:$B,B302,$E:$E,E302)&gt;0,N(I302)/SUMIFS($I:$I,$B:$B,B302,$E:$E,E302),F302/SUMIFS($F:$F,$B:$B,B302,$E:$E,E302)))</f>
        <v/>
      </c>
      <c r="L302" s="3">
        <f>IF(K302="","",K302*SUMIFS(Daily!$D:$D,Daily!$B:$B,B302,Daily!$A:$A,E302)+N(J302))</f>
        <v/>
      </c>
      <c r="M302" s="3">
        <f>IF(K302="","",K302*SUMIFS(Daily!$G:$G,Daily!$B:$B,B302,Daily!$A:$A,E302))</f>
        <v/>
      </c>
      <c r="N302" s="3">
        <f>IF(K302="","",K302*SUMIFS(Daily!$H:$H,Daily!$B:$B,B302,Daily!$A:$A,E302))</f>
        <v/>
      </c>
      <c r="O302" s="3">
        <f>IF(OR(M302="",F302=0),"",M302/F302*10000)</f>
        <v/>
      </c>
      <c r="P302" s="8" t="n"/>
      <c r="Q302" s="8" t="n"/>
      <c r="R302" s="6">
        <f>IF(OR(F302="",F302=0),"",N(I302)/F302)</f>
        <v/>
      </c>
      <c r="S302" s="3">
        <f>IF(OR(F302="",F302=0),"",(N(H302)+N(Q302))/F302*1000)</f>
        <v/>
      </c>
    </row>
    <row r="303">
      <c r="A303" s="8" t="n"/>
      <c r="B303" s="8" t="n"/>
      <c r="C303" s="8" t="n"/>
      <c r="D303" s="8" t="n"/>
      <c r="E303" s="9" t="n"/>
      <c r="F303" s="8" t="n"/>
      <c r="G303" s="8" t="n"/>
      <c r="H303" s="8" t="n"/>
      <c r="I303" s="8" t="n"/>
      <c r="J303" s="8" t="n"/>
      <c r="K303" s="10">
        <f>IF(OR(F303="",SUMIFS($F:$F,$B:$B,B303,$E:$E,E303)=0),"",IF(SUMIFS($I:$I,$B:$B,B303,$E:$E,E303)&gt;0,N(I303)/SUMIFS($I:$I,$B:$B,B303,$E:$E,E303),F303/SUMIFS($F:$F,$B:$B,B303,$E:$E,E303)))</f>
        <v/>
      </c>
      <c r="L303" s="3">
        <f>IF(K303="","",K303*SUMIFS(Daily!$D:$D,Daily!$B:$B,B303,Daily!$A:$A,E303)+N(J303))</f>
        <v/>
      </c>
      <c r="M303" s="3">
        <f>IF(K303="","",K303*SUMIFS(Daily!$G:$G,Daily!$B:$B,B303,Daily!$A:$A,E303))</f>
        <v/>
      </c>
      <c r="N303" s="3">
        <f>IF(K303="","",K303*SUMIFS(Daily!$H:$H,Daily!$B:$B,B303,Daily!$A:$A,E303))</f>
        <v/>
      </c>
      <c r="O303" s="3">
        <f>IF(OR(M303="",F303=0),"",M303/F303*10000)</f>
        <v/>
      </c>
      <c r="P303" s="8" t="n"/>
      <c r="Q303" s="8" t="n"/>
      <c r="R303" s="6">
        <f>IF(OR(F303="",F303=0),"",N(I303)/F303)</f>
        <v/>
      </c>
      <c r="S303" s="3">
        <f>IF(OR(F303="",F303=0),"",(N(H303)+N(Q303))/F303*1000)</f>
        <v/>
      </c>
    </row>
    <row r="304">
      <c r="A304" s="8" t="n"/>
      <c r="B304" s="8" t="n"/>
      <c r="C304" s="8" t="n"/>
      <c r="D304" s="8" t="n"/>
      <c r="E304" s="9" t="n"/>
      <c r="F304" s="8" t="n"/>
      <c r="G304" s="8" t="n"/>
      <c r="H304" s="8" t="n"/>
      <c r="I304" s="8" t="n"/>
      <c r="J304" s="8" t="n"/>
      <c r="K304" s="10">
        <f>IF(OR(F304="",SUMIFS($F:$F,$B:$B,B304,$E:$E,E304)=0),"",IF(SUMIFS($I:$I,$B:$B,B304,$E:$E,E304)&gt;0,N(I304)/SUMIFS($I:$I,$B:$B,B304,$E:$E,E304),F304/SUMIFS($F:$F,$B:$B,B304,$E:$E,E304)))</f>
        <v/>
      </c>
      <c r="L304" s="3">
        <f>IF(K304="","",K304*SUMIFS(Daily!$D:$D,Daily!$B:$B,B304,Daily!$A:$A,E304)+N(J304))</f>
        <v/>
      </c>
      <c r="M304" s="3">
        <f>IF(K304="","",K304*SUMIFS(Daily!$G:$G,Daily!$B:$B,B304,Daily!$A:$A,E304))</f>
        <v/>
      </c>
      <c r="N304" s="3">
        <f>IF(K304="","",K304*SUMIFS(Daily!$H:$H,Daily!$B:$B,B304,Daily!$A:$A,E304))</f>
        <v/>
      </c>
      <c r="O304" s="3">
        <f>IF(OR(M304="",F304=0),"",M304/F304*10000)</f>
        <v/>
      </c>
      <c r="P304" s="8" t="n"/>
      <c r="Q304" s="8" t="n"/>
      <c r="R304" s="6">
        <f>IF(OR(F304="",F304=0),"",N(I304)/F304)</f>
        <v/>
      </c>
      <c r="S304" s="3">
        <f>IF(OR(F304="",F304=0),"",(N(H304)+N(Q304))/F304*1000)</f>
        <v/>
      </c>
    </row>
    <row r="305">
      <c r="A305" s="8" t="n"/>
      <c r="B305" s="8" t="n"/>
      <c r="C305" s="8" t="n"/>
      <c r="D305" s="8" t="n"/>
      <c r="E305" s="9" t="n"/>
      <c r="F305" s="8" t="n"/>
      <c r="G305" s="8" t="n"/>
      <c r="H305" s="8" t="n"/>
      <c r="I305" s="8" t="n"/>
      <c r="J305" s="8" t="n"/>
      <c r="K305" s="10">
        <f>IF(OR(F305="",SUMIFS($F:$F,$B:$B,B305,$E:$E,E305)=0),"",IF(SUMIFS($I:$I,$B:$B,B305,$E:$E,E305)&gt;0,N(I305)/SUMIFS($I:$I,$B:$B,B305,$E:$E,E305),F305/SUMIFS($F:$F,$B:$B,B305,$E:$E,E305)))</f>
        <v/>
      </c>
      <c r="L305" s="3">
        <f>IF(K305="","",K305*SUMIFS(Daily!$D:$D,Daily!$B:$B,B305,Daily!$A:$A,E305)+N(J305))</f>
        <v/>
      </c>
      <c r="M305" s="3">
        <f>IF(K305="","",K305*SUMIFS(Daily!$G:$G,Daily!$B:$B,B305,Daily!$A:$A,E305))</f>
        <v/>
      </c>
      <c r="N305" s="3">
        <f>IF(K305="","",K305*SUMIFS(Daily!$H:$H,Daily!$B:$B,B305,Daily!$A:$A,E305))</f>
        <v/>
      </c>
      <c r="O305" s="3">
        <f>IF(OR(M305="",F305=0),"",M305/F305*10000)</f>
        <v/>
      </c>
      <c r="P305" s="8" t="n"/>
      <c r="Q305" s="8" t="n"/>
      <c r="R305" s="6">
        <f>IF(OR(F305="",F305=0),"",N(I305)/F305)</f>
        <v/>
      </c>
      <c r="S305" s="3">
        <f>IF(OR(F305="",F305=0),"",(N(H305)+N(Q305))/F305*1000)</f>
        <v/>
      </c>
    </row>
    <row r="306">
      <c r="A306" s="8" t="n"/>
      <c r="B306" s="8" t="n"/>
      <c r="C306" s="8" t="n"/>
      <c r="D306" s="8" t="n"/>
      <c r="E306" s="9" t="n"/>
      <c r="F306" s="8" t="n"/>
      <c r="G306" s="8" t="n"/>
      <c r="H306" s="8" t="n"/>
      <c r="I306" s="8" t="n"/>
      <c r="J306" s="8" t="n"/>
      <c r="K306" s="10">
        <f>IF(OR(F306="",SUMIFS($F:$F,$B:$B,B306,$E:$E,E306)=0),"",IF(SUMIFS($I:$I,$B:$B,B306,$E:$E,E306)&gt;0,N(I306)/SUMIFS($I:$I,$B:$B,B306,$E:$E,E306),F306/SUMIFS($F:$F,$B:$B,B306,$E:$E,E306)))</f>
        <v/>
      </c>
      <c r="L306" s="3">
        <f>IF(K306="","",K306*SUMIFS(Daily!$D:$D,Daily!$B:$B,B306,Daily!$A:$A,E306)+N(J306))</f>
        <v/>
      </c>
      <c r="M306" s="3">
        <f>IF(K306="","",K306*SUMIFS(Daily!$G:$G,Daily!$B:$B,B306,Daily!$A:$A,E306))</f>
        <v/>
      </c>
      <c r="N306" s="3">
        <f>IF(K306="","",K306*SUMIFS(Daily!$H:$H,Daily!$B:$B,B306,Daily!$A:$A,E306))</f>
        <v/>
      </c>
      <c r="O306" s="3">
        <f>IF(OR(M306="",F306=0),"",M306/F306*10000)</f>
        <v/>
      </c>
      <c r="P306" s="8" t="n"/>
      <c r="Q306" s="8" t="n"/>
      <c r="R306" s="6">
        <f>IF(OR(F306="",F306=0),"",N(I306)/F306)</f>
        <v/>
      </c>
      <c r="S306" s="3">
        <f>IF(OR(F306="",F306=0),"",(N(H306)+N(Q306))/F306*1000)</f>
        <v/>
      </c>
    </row>
    <row r="307">
      <c r="A307" s="8" t="n"/>
      <c r="B307" s="8" t="n"/>
      <c r="C307" s="8" t="n"/>
      <c r="D307" s="8" t="n"/>
      <c r="E307" s="9" t="n"/>
      <c r="F307" s="8" t="n"/>
      <c r="G307" s="8" t="n"/>
      <c r="H307" s="8" t="n"/>
      <c r="I307" s="8" t="n"/>
      <c r="J307" s="8" t="n"/>
      <c r="K307" s="10">
        <f>IF(OR(F307="",SUMIFS($F:$F,$B:$B,B307,$E:$E,E307)=0),"",IF(SUMIFS($I:$I,$B:$B,B307,$E:$E,E307)&gt;0,N(I307)/SUMIFS($I:$I,$B:$B,B307,$E:$E,E307),F307/SUMIFS($F:$F,$B:$B,B307,$E:$E,E307)))</f>
        <v/>
      </c>
      <c r="L307" s="3">
        <f>IF(K307="","",K307*SUMIFS(Daily!$D:$D,Daily!$B:$B,B307,Daily!$A:$A,E307)+N(J307))</f>
        <v/>
      </c>
      <c r="M307" s="3">
        <f>IF(K307="","",K307*SUMIFS(Daily!$G:$G,Daily!$B:$B,B307,Daily!$A:$A,E307))</f>
        <v/>
      </c>
      <c r="N307" s="3">
        <f>IF(K307="","",K307*SUMIFS(Daily!$H:$H,Daily!$B:$B,B307,Daily!$A:$A,E307))</f>
        <v/>
      </c>
      <c r="O307" s="3">
        <f>IF(OR(M307="",F307=0),"",M307/F307*10000)</f>
        <v/>
      </c>
      <c r="P307" s="8" t="n"/>
      <c r="Q307" s="8" t="n"/>
      <c r="R307" s="6">
        <f>IF(OR(F307="",F307=0),"",N(I307)/F307)</f>
        <v/>
      </c>
      <c r="S307" s="3">
        <f>IF(OR(F307="",F307=0),"",(N(H307)+N(Q307))/F307*1000)</f>
        <v/>
      </c>
    </row>
    <row r="308">
      <c r="A308" s="8" t="n"/>
      <c r="B308" s="8" t="n"/>
      <c r="C308" s="8" t="n"/>
      <c r="D308" s="8" t="n"/>
      <c r="E308" s="9" t="n"/>
      <c r="F308" s="8" t="n"/>
      <c r="G308" s="8" t="n"/>
      <c r="H308" s="8" t="n"/>
      <c r="I308" s="8" t="n"/>
      <c r="J308" s="8" t="n"/>
      <c r="K308" s="10">
        <f>IF(OR(F308="",SUMIFS($F:$F,$B:$B,B308,$E:$E,E308)=0),"",IF(SUMIFS($I:$I,$B:$B,B308,$E:$E,E308)&gt;0,N(I308)/SUMIFS($I:$I,$B:$B,B308,$E:$E,E308),F308/SUMIFS($F:$F,$B:$B,B308,$E:$E,E308)))</f>
        <v/>
      </c>
      <c r="L308" s="3">
        <f>IF(K308="","",K308*SUMIFS(Daily!$D:$D,Daily!$B:$B,B308,Daily!$A:$A,E308)+N(J308))</f>
        <v/>
      </c>
      <c r="M308" s="3">
        <f>IF(K308="","",K308*SUMIFS(Daily!$G:$G,Daily!$B:$B,B308,Daily!$A:$A,E308))</f>
        <v/>
      </c>
      <c r="N308" s="3">
        <f>IF(K308="","",K308*SUMIFS(Daily!$H:$H,Daily!$B:$B,B308,Daily!$A:$A,E308))</f>
        <v/>
      </c>
      <c r="O308" s="3">
        <f>IF(OR(M308="",F308=0),"",M308/F308*10000)</f>
        <v/>
      </c>
      <c r="P308" s="8" t="n"/>
      <c r="Q308" s="8" t="n"/>
      <c r="R308" s="6">
        <f>IF(OR(F308="",F308=0),"",N(I308)/F308)</f>
        <v/>
      </c>
      <c r="S308" s="3">
        <f>IF(OR(F308="",F308=0),"",(N(H308)+N(Q308))/F308*1000)</f>
        <v/>
      </c>
    </row>
    <row r="309">
      <c r="A309" s="8" t="n"/>
      <c r="B309" s="8" t="n"/>
      <c r="C309" s="8" t="n"/>
      <c r="D309" s="8" t="n"/>
      <c r="E309" s="9" t="n"/>
      <c r="F309" s="8" t="n"/>
      <c r="G309" s="8" t="n"/>
      <c r="H309" s="8" t="n"/>
      <c r="I309" s="8" t="n"/>
      <c r="J309" s="8" t="n"/>
      <c r="K309" s="10">
        <f>IF(OR(F309="",SUMIFS($F:$F,$B:$B,B309,$E:$E,E309)=0),"",IF(SUMIFS($I:$I,$B:$B,B309,$E:$E,E309)&gt;0,N(I309)/SUMIFS($I:$I,$B:$B,B309,$E:$E,E309),F309/SUMIFS($F:$F,$B:$B,B309,$E:$E,E309)))</f>
        <v/>
      </c>
      <c r="L309" s="3">
        <f>IF(K309="","",K309*SUMIFS(Daily!$D:$D,Daily!$B:$B,B309,Daily!$A:$A,E309)+N(J309))</f>
        <v/>
      </c>
      <c r="M309" s="3">
        <f>IF(K309="","",K309*SUMIFS(Daily!$G:$G,Daily!$B:$B,B309,Daily!$A:$A,E309))</f>
        <v/>
      </c>
      <c r="N309" s="3">
        <f>IF(K309="","",K309*SUMIFS(Daily!$H:$H,Daily!$B:$B,B309,Daily!$A:$A,E309))</f>
        <v/>
      </c>
      <c r="O309" s="3">
        <f>IF(OR(M309="",F309=0),"",M309/F309*10000)</f>
        <v/>
      </c>
      <c r="P309" s="8" t="n"/>
      <c r="Q309" s="8" t="n"/>
      <c r="R309" s="6">
        <f>IF(OR(F309="",F309=0),"",N(I309)/F309)</f>
        <v/>
      </c>
      <c r="S309" s="3">
        <f>IF(OR(F309="",F309=0),"",(N(H309)+N(Q309))/F309*1000)</f>
        <v/>
      </c>
    </row>
    <row r="310">
      <c r="A310" s="8" t="n"/>
      <c r="B310" s="8" t="n"/>
      <c r="C310" s="8" t="n"/>
      <c r="D310" s="8" t="n"/>
      <c r="E310" s="9" t="n"/>
      <c r="F310" s="8" t="n"/>
      <c r="G310" s="8" t="n"/>
      <c r="H310" s="8" t="n"/>
      <c r="I310" s="8" t="n"/>
      <c r="J310" s="8" t="n"/>
      <c r="K310" s="10">
        <f>IF(OR(F310="",SUMIFS($F:$F,$B:$B,B310,$E:$E,E310)=0),"",IF(SUMIFS($I:$I,$B:$B,B310,$E:$E,E310)&gt;0,N(I310)/SUMIFS($I:$I,$B:$B,B310,$E:$E,E310),F310/SUMIFS($F:$F,$B:$B,B310,$E:$E,E310)))</f>
        <v/>
      </c>
      <c r="L310" s="3">
        <f>IF(K310="","",K310*SUMIFS(Daily!$D:$D,Daily!$B:$B,B310,Daily!$A:$A,E310)+N(J310))</f>
        <v/>
      </c>
      <c r="M310" s="3">
        <f>IF(K310="","",K310*SUMIFS(Daily!$G:$G,Daily!$B:$B,B310,Daily!$A:$A,E310))</f>
        <v/>
      </c>
      <c r="N310" s="3">
        <f>IF(K310="","",K310*SUMIFS(Daily!$H:$H,Daily!$B:$B,B310,Daily!$A:$A,E310))</f>
        <v/>
      </c>
      <c r="O310" s="3">
        <f>IF(OR(M310="",F310=0),"",M310/F310*10000)</f>
        <v/>
      </c>
      <c r="P310" s="8" t="n"/>
      <c r="Q310" s="8" t="n"/>
      <c r="R310" s="6">
        <f>IF(OR(F310="",F310=0),"",N(I310)/F310)</f>
        <v/>
      </c>
      <c r="S310" s="3">
        <f>IF(OR(F310="",F310=0),"",(N(H310)+N(Q310))/F310*1000)</f>
        <v/>
      </c>
    </row>
    <row r="311">
      <c r="A311" s="8" t="n"/>
      <c r="B311" s="8" t="n"/>
      <c r="C311" s="8" t="n"/>
      <c r="D311" s="8" t="n"/>
      <c r="E311" s="9" t="n"/>
      <c r="F311" s="8" t="n"/>
      <c r="G311" s="8" t="n"/>
      <c r="H311" s="8" t="n"/>
      <c r="I311" s="8" t="n"/>
      <c r="J311" s="8" t="n"/>
      <c r="K311" s="10">
        <f>IF(OR(F311="",SUMIFS($F:$F,$B:$B,B311,$E:$E,E311)=0),"",IF(SUMIFS($I:$I,$B:$B,B311,$E:$E,E311)&gt;0,N(I311)/SUMIFS($I:$I,$B:$B,B311,$E:$E,E311),F311/SUMIFS($F:$F,$B:$B,B311,$E:$E,E311)))</f>
        <v/>
      </c>
      <c r="L311" s="3">
        <f>IF(K311="","",K311*SUMIFS(Daily!$D:$D,Daily!$B:$B,B311,Daily!$A:$A,E311)+N(J311))</f>
        <v/>
      </c>
      <c r="M311" s="3">
        <f>IF(K311="","",K311*SUMIFS(Daily!$G:$G,Daily!$B:$B,B311,Daily!$A:$A,E311))</f>
        <v/>
      </c>
      <c r="N311" s="3">
        <f>IF(K311="","",K311*SUMIFS(Daily!$H:$H,Daily!$B:$B,B311,Daily!$A:$A,E311))</f>
        <v/>
      </c>
      <c r="O311" s="3">
        <f>IF(OR(M311="",F311=0),"",M311/F311*10000)</f>
        <v/>
      </c>
      <c r="P311" s="8" t="n"/>
      <c r="Q311" s="8" t="n"/>
      <c r="R311" s="6">
        <f>IF(OR(F311="",F311=0),"",N(I311)/F311)</f>
        <v/>
      </c>
      <c r="S311" s="3">
        <f>IF(OR(F311="",F311=0),"",(N(H311)+N(Q311))/F311*1000)</f>
        <v/>
      </c>
    </row>
    <row r="312">
      <c r="A312" s="8" t="n"/>
      <c r="B312" s="8" t="n"/>
      <c r="C312" s="8" t="n"/>
      <c r="D312" s="8" t="n"/>
      <c r="E312" s="9" t="n"/>
      <c r="F312" s="8" t="n"/>
      <c r="G312" s="8" t="n"/>
      <c r="H312" s="8" t="n"/>
      <c r="I312" s="8" t="n"/>
      <c r="J312" s="8" t="n"/>
      <c r="K312" s="10">
        <f>IF(OR(F312="",SUMIFS($F:$F,$B:$B,B312,$E:$E,E312)=0),"",IF(SUMIFS($I:$I,$B:$B,B312,$E:$E,E312)&gt;0,N(I312)/SUMIFS($I:$I,$B:$B,B312,$E:$E,E312),F312/SUMIFS($F:$F,$B:$B,B312,$E:$E,E312)))</f>
        <v/>
      </c>
      <c r="L312" s="3">
        <f>IF(K312="","",K312*SUMIFS(Daily!$D:$D,Daily!$B:$B,B312,Daily!$A:$A,E312)+N(J312))</f>
        <v/>
      </c>
      <c r="M312" s="3">
        <f>IF(K312="","",K312*SUMIFS(Daily!$G:$G,Daily!$B:$B,B312,Daily!$A:$A,E312))</f>
        <v/>
      </c>
      <c r="N312" s="3">
        <f>IF(K312="","",K312*SUMIFS(Daily!$H:$H,Daily!$B:$B,B312,Daily!$A:$A,E312))</f>
        <v/>
      </c>
      <c r="O312" s="3">
        <f>IF(OR(M312="",F312=0),"",M312/F312*10000)</f>
        <v/>
      </c>
      <c r="P312" s="8" t="n"/>
      <c r="Q312" s="8" t="n"/>
      <c r="R312" s="6">
        <f>IF(OR(F312="",F312=0),"",N(I312)/F312)</f>
        <v/>
      </c>
      <c r="S312" s="3">
        <f>IF(OR(F312="",F312=0),"",(N(H312)+N(Q312))/F312*1000)</f>
        <v/>
      </c>
    </row>
    <row r="313">
      <c r="A313" s="8" t="n"/>
      <c r="B313" s="8" t="n"/>
      <c r="C313" s="8" t="n"/>
      <c r="D313" s="8" t="n"/>
      <c r="E313" s="9" t="n"/>
      <c r="F313" s="8" t="n"/>
      <c r="G313" s="8" t="n"/>
      <c r="H313" s="8" t="n"/>
      <c r="I313" s="8" t="n"/>
      <c r="J313" s="8" t="n"/>
      <c r="K313" s="10">
        <f>IF(OR(F313="",SUMIFS($F:$F,$B:$B,B313,$E:$E,E313)=0),"",IF(SUMIFS($I:$I,$B:$B,B313,$E:$E,E313)&gt;0,N(I313)/SUMIFS($I:$I,$B:$B,B313,$E:$E,E313),F313/SUMIFS($F:$F,$B:$B,B313,$E:$E,E313)))</f>
        <v/>
      </c>
      <c r="L313" s="3">
        <f>IF(K313="","",K313*SUMIFS(Daily!$D:$D,Daily!$B:$B,B313,Daily!$A:$A,E313)+N(J313))</f>
        <v/>
      </c>
      <c r="M313" s="3">
        <f>IF(K313="","",K313*SUMIFS(Daily!$G:$G,Daily!$B:$B,B313,Daily!$A:$A,E313))</f>
        <v/>
      </c>
      <c r="N313" s="3">
        <f>IF(K313="","",K313*SUMIFS(Daily!$H:$H,Daily!$B:$B,B313,Daily!$A:$A,E313))</f>
        <v/>
      </c>
      <c r="O313" s="3">
        <f>IF(OR(M313="",F313=0),"",M313/F313*10000)</f>
        <v/>
      </c>
      <c r="P313" s="8" t="n"/>
      <c r="Q313" s="8" t="n"/>
      <c r="R313" s="6">
        <f>IF(OR(F313="",F313=0),"",N(I313)/F313)</f>
        <v/>
      </c>
      <c r="S313" s="3">
        <f>IF(OR(F313="",F313=0),"",(N(H313)+N(Q313))/F313*1000)</f>
        <v/>
      </c>
    </row>
    <row r="314">
      <c r="A314" s="8" t="n"/>
      <c r="B314" s="8" t="n"/>
      <c r="C314" s="8" t="n"/>
      <c r="D314" s="8" t="n"/>
      <c r="E314" s="9" t="n"/>
      <c r="F314" s="8" t="n"/>
      <c r="G314" s="8" t="n"/>
      <c r="H314" s="8" t="n"/>
      <c r="I314" s="8" t="n"/>
      <c r="J314" s="8" t="n"/>
      <c r="K314" s="10">
        <f>IF(OR(F314="",SUMIFS($F:$F,$B:$B,B314,$E:$E,E314)=0),"",IF(SUMIFS($I:$I,$B:$B,B314,$E:$E,E314)&gt;0,N(I314)/SUMIFS($I:$I,$B:$B,B314,$E:$E,E314),F314/SUMIFS($F:$F,$B:$B,B314,$E:$E,E314)))</f>
        <v/>
      </c>
      <c r="L314" s="3">
        <f>IF(K314="","",K314*SUMIFS(Daily!$D:$D,Daily!$B:$B,B314,Daily!$A:$A,E314)+N(J314))</f>
        <v/>
      </c>
      <c r="M314" s="3">
        <f>IF(K314="","",K314*SUMIFS(Daily!$G:$G,Daily!$B:$B,B314,Daily!$A:$A,E314))</f>
        <v/>
      </c>
      <c r="N314" s="3">
        <f>IF(K314="","",K314*SUMIFS(Daily!$H:$H,Daily!$B:$B,B314,Daily!$A:$A,E314))</f>
        <v/>
      </c>
      <c r="O314" s="3">
        <f>IF(OR(M314="",F314=0),"",M314/F314*10000)</f>
        <v/>
      </c>
      <c r="P314" s="8" t="n"/>
      <c r="Q314" s="8" t="n"/>
      <c r="R314" s="6">
        <f>IF(OR(F314="",F314=0),"",N(I314)/F314)</f>
        <v/>
      </c>
      <c r="S314" s="3">
        <f>IF(OR(F314="",F314=0),"",(N(H314)+N(Q314))/F314*1000)</f>
        <v/>
      </c>
    </row>
    <row r="315">
      <c r="A315" s="8" t="n"/>
      <c r="B315" s="8" t="n"/>
      <c r="C315" s="8" t="n"/>
      <c r="D315" s="8" t="n"/>
      <c r="E315" s="9" t="n"/>
      <c r="F315" s="8" t="n"/>
      <c r="G315" s="8" t="n"/>
      <c r="H315" s="8" t="n"/>
      <c r="I315" s="8" t="n"/>
      <c r="J315" s="8" t="n"/>
      <c r="K315" s="10">
        <f>IF(OR(F315="",SUMIFS($F:$F,$B:$B,B315,$E:$E,E315)=0),"",IF(SUMIFS($I:$I,$B:$B,B315,$E:$E,E315)&gt;0,N(I315)/SUMIFS($I:$I,$B:$B,B315,$E:$E,E315),F315/SUMIFS($F:$F,$B:$B,B315,$E:$E,E315)))</f>
        <v/>
      </c>
      <c r="L315" s="3">
        <f>IF(K315="","",K315*SUMIFS(Daily!$D:$D,Daily!$B:$B,B315,Daily!$A:$A,E315)+N(J315))</f>
        <v/>
      </c>
      <c r="M315" s="3">
        <f>IF(K315="","",K315*SUMIFS(Daily!$G:$G,Daily!$B:$B,B315,Daily!$A:$A,E315))</f>
        <v/>
      </c>
      <c r="N315" s="3">
        <f>IF(K315="","",K315*SUMIFS(Daily!$H:$H,Daily!$B:$B,B315,Daily!$A:$A,E315))</f>
        <v/>
      </c>
      <c r="O315" s="3">
        <f>IF(OR(M315="",F315=0),"",M315/F315*10000)</f>
        <v/>
      </c>
      <c r="P315" s="8" t="n"/>
      <c r="Q315" s="8" t="n"/>
      <c r="R315" s="6">
        <f>IF(OR(F315="",F315=0),"",N(I315)/F315)</f>
        <v/>
      </c>
      <c r="S315" s="3">
        <f>IF(OR(F315="",F315=0),"",(N(H315)+N(Q315))/F315*1000)</f>
        <v/>
      </c>
    </row>
    <row r="316">
      <c r="A316" s="8" t="n"/>
      <c r="B316" s="8" t="n"/>
      <c r="C316" s="8" t="n"/>
      <c r="D316" s="8" t="n"/>
      <c r="E316" s="9" t="n"/>
      <c r="F316" s="8" t="n"/>
      <c r="G316" s="8" t="n"/>
      <c r="H316" s="8" t="n"/>
      <c r="I316" s="8" t="n"/>
      <c r="J316" s="8" t="n"/>
      <c r="K316" s="10">
        <f>IF(OR(F316="",SUMIFS($F:$F,$B:$B,B316,$E:$E,E316)=0),"",IF(SUMIFS($I:$I,$B:$B,B316,$E:$E,E316)&gt;0,N(I316)/SUMIFS($I:$I,$B:$B,B316,$E:$E,E316),F316/SUMIFS($F:$F,$B:$B,B316,$E:$E,E316)))</f>
        <v/>
      </c>
      <c r="L316" s="3">
        <f>IF(K316="","",K316*SUMIFS(Daily!$D:$D,Daily!$B:$B,B316,Daily!$A:$A,E316)+N(J316))</f>
        <v/>
      </c>
      <c r="M316" s="3">
        <f>IF(K316="","",K316*SUMIFS(Daily!$G:$G,Daily!$B:$B,B316,Daily!$A:$A,E316))</f>
        <v/>
      </c>
      <c r="N316" s="3">
        <f>IF(K316="","",K316*SUMIFS(Daily!$H:$H,Daily!$B:$B,B316,Daily!$A:$A,E316))</f>
        <v/>
      </c>
      <c r="O316" s="3">
        <f>IF(OR(M316="",F316=0),"",M316/F316*10000)</f>
        <v/>
      </c>
      <c r="P316" s="8" t="n"/>
      <c r="Q316" s="8" t="n"/>
      <c r="R316" s="6">
        <f>IF(OR(F316="",F316=0),"",N(I316)/F316)</f>
        <v/>
      </c>
      <c r="S316" s="3">
        <f>IF(OR(F316="",F316=0),"",(N(H316)+N(Q316))/F316*1000)</f>
        <v/>
      </c>
    </row>
    <row r="317">
      <c r="A317" s="8" t="n"/>
      <c r="B317" s="8" t="n"/>
      <c r="C317" s="8" t="n"/>
      <c r="D317" s="8" t="n"/>
      <c r="E317" s="9" t="n"/>
      <c r="F317" s="8" t="n"/>
      <c r="G317" s="8" t="n"/>
      <c r="H317" s="8" t="n"/>
      <c r="I317" s="8" t="n"/>
      <c r="J317" s="8" t="n"/>
      <c r="K317" s="10">
        <f>IF(OR(F317="",SUMIFS($F:$F,$B:$B,B317,$E:$E,E317)=0),"",IF(SUMIFS($I:$I,$B:$B,B317,$E:$E,E317)&gt;0,N(I317)/SUMIFS($I:$I,$B:$B,B317,$E:$E,E317),F317/SUMIFS($F:$F,$B:$B,B317,$E:$E,E317)))</f>
        <v/>
      </c>
      <c r="L317" s="3">
        <f>IF(K317="","",K317*SUMIFS(Daily!$D:$D,Daily!$B:$B,B317,Daily!$A:$A,E317)+N(J317))</f>
        <v/>
      </c>
      <c r="M317" s="3">
        <f>IF(K317="","",K317*SUMIFS(Daily!$G:$G,Daily!$B:$B,B317,Daily!$A:$A,E317))</f>
        <v/>
      </c>
      <c r="N317" s="3">
        <f>IF(K317="","",K317*SUMIFS(Daily!$H:$H,Daily!$B:$B,B317,Daily!$A:$A,E317))</f>
        <v/>
      </c>
      <c r="O317" s="3">
        <f>IF(OR(M317="",F317=0),"",M317/F317*10000)</f>
        <v/>
      </c>
      <c r="P317" s="8" t="n"/>
      <c r="Q317" s="8" t="n"/>
      <c r="R317" s="6">
        <f>IF(OR(F317="",F317=0),"",N(I317)/F317)</f>
        <v/>
      </c>
      <c r="S317" s="3">
        <f>IF(OR(F317="",F317=0),"",(N(H317)+N(Q317))/F317*1000)</f>
        <v/>
      </c>
    </row>
    <row r="318">
      <c r="A318" s="8" t="n"/>
      <c r="B318" s="8" t="n"/>
      <c r="C318" s="8" t="n"/>
      <c r="D318" s="8" t="n"/>
      <c r="E318" s="9" t="n"/>
      <c r="F318" s="8" t="n"/>
      <c r="G318" s="8" t="n"/>
      <c r="H318" s="8" t="n"/>
      <c r="I318" s="8" t="n"/>
      <c r="J318" s="8" t="n"/>
      <c r="K318" s="10">
        <f>IF(OR(F318="",SUMIFS($F:$F,$B:$B,B318,$E:$E,E318)=0),"",IF(SUMIFS($I:$I,$B:$B,B318,$E:$E,E318)&gt;0,N(I318)/SUMIFS($I:$I,$B:$B,B318,$E:$E,E318),F318/SUMIFS($F:$F,$B:$B,B318,$E:$E,E318)))</f>
        <v/>
      </c>
      <c r="L318" s="3">
        <f>IF(K318="","",K318*SUMIFS(Daily!$D:$D,Daily!$B:$B,B318,Daily!$A:$A,E318)+N(J318))</f>
        <v/>
      </c>
      <c r="M318" s="3">
        <f>IF(K318="","",K318*SUMIFS(Daily!$G:$G,Daily!$B:$B,B318,Daily!$A:$A,E318))</f>
        <v/>
      </c>
      <c r="N318" s="3">
        <f>IF(K318="","",K318*SUMIFS(Daily!$H:$H,Daily!$B:$B,B318,Daily!$A:$A,E318))</f>
        <v/>
      </c>
      <c r="O318" s="3">
        <f>IF(OR(M318="",F318=0),"",M318/F318*10000)</f>
        <v/>
      </c>
      <c r="P318" s="8" t="n"/>
      <c r="Q318" s="8" t="n"/>
      <c r="R318" s="6">
        <f>IF(OR(F318="",F318=0),"",N(I318)/F318)</f>
        <v/>
      </c>
      <c r="S318" s="3">
        <f>IF(OR(F318="",F318=0),"",(N(H318)+N(Q318))/F318*1000)</f>
        <v/>
      </c>
    </row>
    <row r="319">
      <c r="A319" s="8" t="n"/>
      <c r="B319" s="8" t="n"/>
      <c r="C319" s="8" t="n"/>
      <c r="D319" s="8" t="n"/>
      <c r="E319" s="9" t="n"/>
      <c r="F319" s="8" t="n"/>
      <c r="G319" s="8" t="n"/>
      <c r="H319" s="8" t="n"/>
      <c r="I319" s="8" t="n"/>
      <c r="J319" s="8" t="n"/>
      <c r="K319" s="10">
        <f>IF(OR(F319="",SUMIFS($F:$F,$B:$B,B319,$E:$E,E319)=0),"",IF(SUMIFS($I:$I,$B:$B,B319,$E:$E,E319)&gt;0,N(I319)/SUMIFS($I:$I,$B:$B,B319,$E:$E,E319),F319/SUMIFS($F:$F,$B:$B,B319,$E:$E,E319)))</f>
        <v/>
      </c>
      <c r="L319" s="3">
        <f>IF(K319="","",K319*SUMIFS(Daily!$D:$D,Daily!$B:$B,B319,Daily!$A:$A,E319)+N(J319))</f>
        <v/>
      </c>
      <c r="M319" s="3">
        <f>IF(K319="","",K319*SUMIFS(Daily!$G:$G,Daily!$B:$B,B319,Daily!$A:$A,E319))</f>
        <v/>
      </c>
      <c r="N319" s="3">
        <f>IF(K319="","",K319*SUMIFS(Daily!$H:$H,Daily!$B:$B,B319,Daily!$A:$A,E319))</f>
        <v/>
      </c>
      <c r="O319" s="3">
        <f>IF(OR(M319="",F319=0),"",M319/F319*10000)</f>
        <v/>
      </c>
      <c r="P319" s="8" t="n"/>
      <c r="Q319" s="8" t="n"/>
      <c r="R319" s="6">
        <f>IF(OR(F319="",F319=0),"",N(I319)/F319)</f>
        <v/>
      </c>
      <c r="S319" s="3">
        <f>IF(OR(F319="",F319=0),"",(N(H319)+N(Q319))/F319*1000)</f>
        <v/>
      </c>
    </row>
    <row r="320">
      <c r="A320" s="8" t="n"/>
      <c r="B320" s="8" t="n"/>
      <c r="C320" s="8" t="n"/>
      <c r="D320" s="8" t="n"/>
      <c r="E320" s="9" t="n"/>
      <c r="F320" s="8" t="n"/>
      <c r="G320" s="8" t="n"/>
      <c r="H320" s="8" t="n"/>
      <c r="I320" s="8" t="n"/>
      <c r="J320" s="8" t="n"/>
      <c r="K320" s="10">
        <f>IF(OR(F320="",SUMIFS($F:$F,$B:$B,B320,$E:$E,E320)=0),"",IF(SUMIFS($I:$I,$B:$B,B320,$E:$E,E320)&gt;0,N(I320)/SUMIFS($I:$I,$B:$B,B320,$E:$E,E320),F320/SUMIFS($F:$F,$B:$B,B320,$E:$E,E320)))</f>
        <v/>
      </c>
      <c r="L320" s="3">
        <f>IF(K320="","",K320*SUMIFS(Daily!$D:$D,Daily!$B:$B,B320,Daily!$A:$A,E320)+N(J320))</f>
        <v/>
      </c>
      <c r="M320" s="3">
        <f>IF(K320="","",K320*SUMIFS(Daily!$G:$G,Daily!$B:$B,B320,Daily!$A:$A,E320))</f>
        <v/>
      </c>
      <c r="N320" s="3">
        <f>IF(K320="","",K320*SUMIFS(Daily!$H:$H,Daily!$B:$B,B320,Daily!$A:$A,E320))</f>
        <v/>
      </c>
      <c r="O320" s="3">
        <f>IF(OR(M320="",F320=0),"",M320/F320*10000)</f>
        <v/>
      </c>
      <c r="P320" s="8" t="n"/>
      <c r="Q320" s="8" t="n"/>
      <c r="R320" s="6">
        <f>IF(OR(F320="",F320=0),"",N(I320)/F320)</f>
        <v/>
      </c>
      <c r="S320" s="3">
        <f>IF(OR(F320="",F320=0),"",(N(H320)+N(Q320))/F320*1000)</f>
        <v/>
      </c>
    </row>
    <row r="321">
      <c r="A321" s="8" t="n"/>
      <c r="B321" s="8" t="n"/>
      <c r="C321" s="8" t="n"/>
      <c r="D321" s="8" t="n"/>
      <c r="E321" s="9" t="n"/>
      <c r="F321" s="8" t="n"/>
      <c r="G321" s="8" t="n"/>
      <c r="H321" s="8" t="n"/>
      <c r="I321" s="8" t="n"/>
      <c r="J321" s="8" t="n"/>
      <c r="K321" s="10">
        <f>IF(OR(F321="",SUMIFS($F:$F,$B:$B,B321,$E:$E,E321)=0),"",IF(SUMIFS($I:$I,$B:$B,B321,$E:$E,E321)&gt;0,N(I321)/SUMIFS($I:$I,$B:$B,B321,$E:$E,E321),F321/SUMIFS($F:$F,$B:$B,B321,$E:$E,E321)))</f>
        <v/>
      </c>
      <c r="L321" s="3">
        <f>IF(K321="","",K321*SUMIFS(Daily!$D:$D,Daily!$B:$B,B321,Daily!$A:$A,E321)+N(J321))</f>
        <v/>
      </c>
      <c r="M321" s="3">
        <f>IF(K321="","",K321*SUMIFS(Daily!$G:$G,Daily!$B:$B,B321,Daily!$A:$A,E321))</f>
        <v/>
      </c>
      <c r="N321" s="3">
        <f>IF(K321="","",K321*SUMIFS(Daily!$H:$H,Daily!$B:$B,B321,Daily!$A:$A,E321))</f>
        <v/>
      </c>
      <c r="O321" s="3">
        <f>IF(OR(M321="",F321=0),"",M321/F321*10000)</f>
        <v/>
      </c>
      <c r="P321" s="8" t="n"/>
      <c r="Q321" s="8" t="n"/>
      <c r="R321" s="6">
        <f>IF(OR(F321="",F321=0),"",N(I321)/F321)</f>
        <v/>
      </c>
      <c r="S321" s="3">
        <f>IF(OR(F321="",F321=0),"",(N(H321)+N(Q321))/F321*1000)</f>
        <v/>
      </c>
    </row>
    <row r="322">
      <c r="A322" s="8" t="n"/>
      <c r="B322" s="8" t="n"/>
      <c r="C322" s="8" t="n"/>
      <c r="D322" s="8" t="n"/>
      <c r="E322" s="9" t="n"/>
      <c r="F322" s="8" t="n"/>
      <c r="G322" s="8" t="n"/>
      <c r="H322" s="8" t="n"/>
      <c r="I322" s="8" t="n"/>
      <c r="J322" s="8" t="n"/>
      <c r="K322" s="10">
        <f>IF(OR(F322="",SUMIFS($F:$F,$B:$B,B322,$E:$E,E322)=0),"",IF(SUMIFS($I:$I,$B:$B,B322,$E:$E,E322)&gt;0,N(I322)/SUMIFS($I:$I,$B:$B,B322,$E:$E,E322),F322/SUMIFS($F:$F,$B:$B,B322,$E:$E,E322)))</f>
        <v/>
      </c>
      <c r="L322" s="3">
        <f>IF(K322="","",K322*SUMIFS(Daily!$D:$D,Daily!$B:$B,B322,Daily!$A:$A,E322)+N(J322))</f>
        <v/>
      </c>
      <c r="M322" s="3">
        <f>IF(K322="","",K322*SUMIFS(Daily!$G:$G,Daily!$B:$B,B322,Daily!$A:$A,E322))</f>
        <v/>
      </c>
      <c r="N322" s="3">
        <f>IF(K322="","",K322*SUMIFS(Daily!$H:$H,Daily!$B:$B,B322,Daily!$A:$A,E322))</f>
        <v/>
      </c>
      <c r="O322" s="3">
        <f>IF(OR(M322="",F322=0),"",M322/F322*10000)</f>
        <v/>
      </c>
      <c r="P322" s="8" t="n"/>
      <c r="Q322" s="8" t="n"/>
      <c r="R322" s="6">
        <f>IF(OR(F322="",F322=0),"",N(I322)/F322)</f>
        <v/>
      </c>
      <c r="S322" s="3">
        <f>IF(OR(F322="",F322=0),"",(N(H322)+N(Q322))/F322*1000)</f>
        <v/>
      </c>
    </row>
    <row r="323">
      <c r="A323" s="8" t="n"/>
      <c r="B323" s="8" t="n"/>
      <c r="C323" s="8" t="n"/>
      <c r="D323" s="8" t="n"/>
      <c r="E323" s="9" t="n"/>
      <c r="F323" s="8" t="n"/>
      <c r="G323" s="8" t="n"/>
      <c r="H323" s="8" t="n"/>
      <c r="I323" s="8" t="n"/>
      <c r="J323" s="8" t="n"/>
      <c r="K323" s="10">
        <f>IF(OR(F323="",SUMIFS($F:$F,$B:$B,B323,$E:$E,E323)=0),"",IF(SUMIFS($I:$I,$B:$B,B323,$E:$E,E323)&gt;0,N(I323)/SUMIFS($I:$I,$B:$B,B323,$E:$E,E323),F323/SUMIFS($F:$F,$B:$B,B323,$E:$E,E323)))</f>
        <v/>
      </c>
      <c r="L323" s="3">
        <f>IF(K323="","",K323*SUMIFS(Daily!$D:$D,Daily!$B:$B,B323,Daily!$A:$A,E323)+N(J323))</f>
        <v/>
      </c>
      <c r="M323" s="3">
        <f>IF(K323="","",K323*SUMIFS(Daily!$G:$G,Daily!$B:$B,B323,Daily!$A:$A,E323))</f>
        <v/>
      </c>
      <c r="N323" s="3">
        <f>IF(K323="","",K323*SUMIFS(Daily!$H:$H,Daily!$B:$B,B323,Daily!$A:$A,E323))</f>
        <v/>
      </c>
      <c r="O323" s="3">
        <f>IF(OR(M323="",F323=0),"",M323/F323*10000)</f>
        <v/>
      </c>
      <c r="P323" s="8" t="n"/>
      <c r="Q323" s="8" t="n"/>
      <c r="R323" s="6">
        <f>IF(OR(F323="",F323=0),"",N(I323)/F323)</f>
        <v/>
      </c>
      <c r="S323" s="3">
        <f>IF(OR(F323="",F323=0),"",(N(H323)+N(Q323))/F323*1000)</f>
        <v/>
      </c>
    </row>
    <row r="324">
      <c r="A324" s="8" t="n"/>
      <c r="B324" s="8" t="n"/>
      <c r="C324" s="8" t="n"/>
      <c r="D324" s="8" t="n"/>
      <c r="E324" s="9" t="n"/>
      <c r="F324" s="8" t="n"/>
      <c r="G324" s="8" t="n"/>
      <c r="H324" s="8" t="n"/>
      <c r="I324" s="8" t="n"/>
      <c r="J324" s="8" t="n"/>
      <c r="K324" s="10">
        <f>IF(OR(F324="",SUMIFS($F:$F,$B:$B,B324,$E:$E,E324)=0),"",IF(SUMIFS($I:$I,$B:$B,B324,$E:$E,E324)&gt;0,N(I324)/SUMIFS($I:$I,$B:$B,B324,$E:$E,E324),F324/SUMIFS($F:$F,$B:$B,B324,$E:$E,E324)))</f>
        <v/>
      </c>
      <c r="L324" s="3">
        <f>IF(K324="","",K324*SUMIFS(Daily!$D:$D,Daily!$B:$B,B324,Daily!$A:$A,E324)+N(J324))</f>
        <v/>
      </c>
      <c r="M324" s="3">
        <f>IF(K324="","",K324*SUMIFS(Daily!$G:$G,Daily!$B:$B,B324,Daily!$A:$A,E324))</f>
        <v/>
      </c>
      <c r="N324" s="3">
        <f>IF(K324="","",K324*SUMIFS(Daily!$H:$H,Daily!$B:$B,B324,Daily!$A:$A,E324))</f>
        <v/>
      </c>
      <c r="O324" s="3">
        <f>IF(OR(M324="",F324=0),"",M324/F324*10000)</f>
        <v/>
      </c>
      <c r="P324" s="8" t="n"/>
      <c r="Q324" s="8" t="n"/>
      <c r="R324" s="6">
        <f>IF(OR(F324="",F324=0),"",N(I324)/F324)</f>
        <v/>
      </c>
      <c r="S324" s="3">
        <f>IF(OR(F324="",F324=0),"",(N(H324)+N(Q324))/F324*1000)</f>
        <v/>
      </c>
    </row>
    <row r="325">
      <c r="A325" s="8" t="n"/>
      <c r="B325" s="8" t="n"/>
      <c r="C325" s="8" t="n"/>
      <c r="D325" s="8" t="n"/>
      <c r="E325" s="9" t="n"/>
      <c r="F325" s="8" t="n"/>
      <c r="G325" s="8" t="n"/>
      <c r="H325" s="8" t="n"/>
      <c r="I325" s="8" t="n"/>
      <c r="J325" s="8" t="n"/>
      <c r="K325" s="10">
        <f>IF(OR(F325="",SUMIFS($F:$F,$B:$B,B325,$E:$E,E325)=0),"",IF(SUMIFS($I:$I,$B:$B,B325,$E:$E,E325)&gt;0,N(I325)/SUMIFS($I:$I,$B:$B,B325,$E:$E,E325),F325/SUMIFS($F:$F,$B:$B,B325,$E:$E,E325)))</f>
        <v/>
      </c>
      <c r="L325" s="3">
        <f>IF(K325="","",K325*SUMIFS(Daily!$D:$D,Daily!$B:$B,B325,Daily!$A:$A,E325)+N(J325))</f>
        <v/>
      </c>
      <c r="M325" s="3">
        <f>IF(K325="","",K325*SUMIFS(Daily!$G:$G,Daily!$B:$B,B325,Daily!$A:$A,E325))</f>
        <v/>
      </c>
      <c r="N325" s="3">
        <f>IF(K325="","",K325*SUMIFS(Daily!$H:$H,Daily!$B:$B,B325,Daily!$A:$A,E325))</f>
        <v/>
      </c>
      <c r="O325" s="3">
        <f>IF(OR(M325="",F325=0),"",M325/F325*10000)</f>
        <v/>
      </c>
      <c r="P325" s="8" t="n"/>
      <c r="Q325" s="8" t="n"/>
      <c r="R325" s="6">
        <f>IF(OR(F325="",F325=0),"",N(I325)/F325)</f>
        <v/>
      </c>
      <c r="S325" s="3">
        <f>IF(OR(F325="",F325=0),"",(N(H325)+N(Q325))/F325*1000)</f>
        <v/>
      </c>
    </row>
    <row r="326">
      <c r="A326" s="8" t="n"/>
      <c r="B326" s="8" t="n"/>
      <c r="C326" s="8" t="n"/>
      <c r="D326" s="8" t="n"/>
      <c r="E326" s="9" t="n"/>
      <c r="F326" s="8" t="n"/>
      <c r="G326" s="8" t="n"/>
      <c r="H326" s="8" t="n"/>
      <c r="I326" s="8" t="n"/>
      <c r="J326" s="8" t="n"/>
      <c r="K326" s="10">
        <f>IF(OR(F326="",SUMIFS($F:$F,$B:$B,B326,$E:$E,E326)=0),"",IF(SUMIFS($I:$I,$B:$B,B326,$E:$E,E326)&gt;0,N(I326)/SUMIFS($I:$I,$B:$B,B326,$E:$E,E326),F326/SUMIFS($F:$F,$B:$B,B326,$E:$E,E326)))</f>
        <v/>
      </c>
      <c r="L326" s="3">
        <f>IF(K326="","",K326*SUMIFS(Daily!$D:$D,Daily!$B:$B,B326,Daily!$A:$A,E326)+N(J326))</f>
        <v/>
      </c>
      <c r="M326" s="3">
        <f>IF(K326="","",K326*SUMIFS(Daily!$G:$G,Daily!$B:$B,B326,Daily!$A:$A,E326))</f>
        <v/>
      </c>
      <c r="N326" s="3">
        <f>IF(K326="","",K326*SUMIFS(Daily!$H:$H,Daily!$B:$B,B326,Daily!$A:$A,E326))</f>
        <v/>
      </c>
      <c r="O326" s="3">
        <f>IF(OR(M326="",F326=0),"",M326/F326*10000)</f>
        <v/>
      </c>
      <c r="P326" s="8" t="n"/>
      <c r="Q326" s="8" t="n"/>
      <c r="R326" s="6">
        <f>IF(OR(F326="",F326=0),"",N(I326)/F326)</f>
        <v/>
      </c>
      <c r="S326" s="3">
        <f>IF(OR(F326="",F326=0),"",(N(H326)+N(Q326))/F326*1000)</f>
        <v/>
      </c>
    </row>
    <row r="327">
      <c r="A327" s="8" t="n"/>
      <c r="B327" s="8" t="n"/>
      <c r="C327" s="8" t="n"/>
      <c r="D327" s="8" t="n"/>
      <c r="E327" s="9" t="n"/>
      <c r="F327" s="8" t="n"/>
      <c r="G327" s="8" t="n"/>
      <c r="H327" s="8" t="n"/>
      <c r="I327" s="8" t="n"/>
      <c r="J327" s="8" t="n"/>
      <c r="K327" s="10">
        <f>IF(OR(F327="",SUMIFS($F:$F,$B:$B,B327,$E:$E,E327)=0),"",IF(SUMIFS($I:$I,$B:$B,B327,$E:$E,E327)&gt;0,N(I327)/SUMIFS($I:$I,$B:$B,B327,$E:$E,E327),F327/SUMIFS($F:$F,$B:$B,B327,$E:$E,E327)))</f>
        <v/>
      </c>
      <c r="L327" s="3">
        <f>IF(K327="","",K327*SUMIFS(Daily!$D:$D,Daily!$B:$B,B327,Daily!$A:$A,E327)+N(J327))</f>
        <v/>
      </c>
      <c r="M327" s="3">
        <f>IF(K327="","",K327*SUMIFS(Daily!$G:$G,Daily!$B:$B,B327,Daily!$A:$A,E327))</f>
        <v/>
      </c>
      <c r="N327" s="3">
        <f>IF(K327="","",K327*SUMIFS(Daily!$H:$H,Daily!$B:$B,B327,Daily!$A:$A,E327))</f>
        <v/>
      </c>
      <c r="O327" s="3">
        <f>IF(OR(M327="",F327=0),"",M327/F327*10000)</f>
        <v/>
      </c>
      <c r="P327" s="8" t="n"/>
      <c r="Q327" s="8" t="n"/>
      <c r="R327" s="6">
        <f>IF(OR(F327="",F327=0),"",N(I327)/F327)</f>
        <v/>
      </c>
      <c r="S327" s="3">
        <f>IF(OR(F327="",F327=0),"",(N(H327)+N(Q327))/F327*1000)</f>
        <v/>
      </c>
    </row>
    <row r="328">
      <c r="A328" s="8" t="n"/>
      <c r="B328" s="8" t="n"/>
      <c r="C328" s="8" t="n"/>
      <c r="D328" s="8" t="n"/>
      <c r="E328" s="9" t="n"/>
      <c r="F328" s="8" t="n"/>
      <c r="G328" s="8" t="n"/>
      <c r="H328" s="8" t="n"/>
      <c r="I328" s="8" t="n"/>
      <c r="J328" s="8" t="n"/>
      <c r="K328" s="10">
        <f>IF(OR(F328="",SUMIFS($F:$F,$B:$B,B328,$E:$E,E328)=0),"",IF(SUMIFS($I:$I,$B:$B,B328,$E:$E,E328)&gt;0,N(I328)/SUMIFS($I:$I,$B:$B,B328,$E:$E,E328),F328/SUMIFS($F:$F,$B:$B,B328,$E:$E,E328)))</f>
        <v/>
      </c>
      <c r="L328" s="3">
        <f>IF(K328="","",K328*SUMIFS(Daily!$D:$D,Daily!$B:$B,B328,Daily!$A:$A,E328)+N(J328))</f>
        <v/>
      </c>
      <c r="M328" s="3">
        <f>IF(K328="","",K328*SUMIFS(Daily!$G:$G,Daily!$B:$B,B328,Daily!$A:$A,E328))</f>
        <v/>
      </c>
      <c r="N328" s="3">
        <f>IF(K328="","",K328*SUMIFS(Daily!$H:$H,Daily!$B:$B,B328,Daily!$A:$A,E328))</f>
        <v/>
      </c>
      <c r="O328" s="3">
        <f>IF(OR(M328="",F328=0),"",M328/F328*10000)</f>
        <v/>
      </c>
      <c r="P328" s="8" t="n"/>
      <c r="Q328" s="8" t="n"/>
      <c r="R328" s="6">
        <f>IF(OR(F328="",F328=0),"",N(I328)/F328)</f>
        <v/>
      </c>
      <c r="S328" s="3">
        <f>IF(OR(F328="",F328=0),"",(N(H328)+N(Q328))/F328*1000)</f>
        <v/>
      </c>
    </row>
    <row r="329">
      <c r="A329" s="8" t="n"/>
      <c r="B329" s="8" t="n"/>
      <c r="C329" s="8" t="n"/>
      <c r="D329" s="8" t="n"/>
      <c r="E329" s="9" t="n"/>
      <c r="F329" s="8" t="n"/>
      <c r="G329" s="8" t="n"/>
      <c r="H329" s="8" t="n"/>
      <c r="I329" s="8" t="n"/>
      <c r="J329" s="8" t="n"/>
      <c r="K329" s="10">
        <f>IF(OR(F329="",SUMIFS($F:$F,$B:$B,B329,$E:$E,E329)=0),"",IF(SUMIFS($I:$I,$B:$B,B329,$E:$E,E329)&gt;0,N(I329)/SUMIFS($I:$I,$B:$B,B329,$E:$E,E329),F329/SUMIFS($F:$F,$B:$B,B329,$E:$E,E329)))</f>
        <v/>
      </c>
      <c r="L329" s="3">
        <f>IF(K329="","",K329*SUMIFS(Daily!$D:$D,Daily!$B:$B,B329,Daily!$A:$A,E329)+N(J329))</f>
        <v/>
      </c>
      <c r="M329" s="3">
        <f>IF(K329="","",K329*SUMIFS(Daily!$G:$G,Daily!$B:$B,B329,Daily!$A:$A,E329))</f>
        <v/>
      </c>
      <c r="N329" s="3">
        <f>IF(K329="","",K329*SUMIFS(Daily!$H:$H,Daily!$B:$B,B329,Daily!$A:$A,E329))</f>
        <v/>
      </c>
      <c r="O329" s="3">
        <f>IF(OR(M329="",F329=0),"",M329/F329*10000)</f>
        <v/>
      </c>
      <c r="P329" s="8" t="n"/>
      <c r="Q329" s="8" t="n"/>
      <c r="R329" s="6">
        <f>IF(OR(F329="",F329=0),"",N(I329)/F329)</f>
        <v/>
      </c>
      <c r="S329" s="3">
        <f>IF(OR(F329="",F329=0),"",(N(H329)+N(Q329))/F329*1000)</f>
        <v/>
      </c>
    </row>
    <row r="330">
      <c r="A330" s="8" t="n"/>
      <c r="B330" s="8" t="n"/>
      <c r="C330" s="8" t="n"/>
      <c r="D330" s="8" t="n"/>
      <c r="E330" s="9" t="n"/>
      <c r="F330" s="8" t="n"/>
      <c r="G330" s="8" t="n"/>
      <c r="H330" s="8" t="n"/>
      <c r="I330" s="8" t="n"/>
      <c r="J330" s="8" t="n"/>
      <c r="K330" s="10">
        <f>IF(OR(F330="",SUMIFS($F:$F,$B:$B,B330,$E:$E,E330)=0),"",IF(SUMIFS($I:$I,$B:$B,B330,$E:$E,E330)&gt;0,N(I330)/SUMIFS($I:$I,$B:$B,B330,$E:$E,E330),F330/SUMIFS($F:$F,$B:$B,B330,$E:$E,E330)))</f>
        <v/>
      </c>
      <c r="L330" s="3">
        <f>IF(K330="","",K330*SUMIFS(Daily!$D:$D,Daily!$B:$B,B330,Daily!$A:$A,E330)+N(J330))</f>
        <v/>
      </c>
      <c r="M330" s="3">
        <f>IF(K330="","",K330*SUMIFS(Daily!$G:$G,Daily!$B:$B,B330,Daily!$A:$A,E330))</f>
        <v/>
      </c>
      <c r="N330" s="3">
        <f>IF(K330="","",K330*SUMIFS(Daily!$H:$H,Daily!$B:$B,B330,Daily!$A:$A,E330))</f>
        <v/>
      </c>
      <c r="O330" s="3">
        <f>IF(OR(M330="",F330=0),"",M330/F330*10000)</f>
        <v/>
      </c>
      <c r="P330" s="8" t="n"/>
      <c r="Q330" s="8" t="n"/>
      <c r="R330" s="6">
        <f>IF(OR(F330="",F330=0),"",N(I330)/F330)</f>
        <v/>
      </c>
      <c r="S330" s="3">
        <f>IF(OR(F330="",F330=0),"",(N(H330)+N(Q330))/F330*1000)</f>
        <v/>
      </c>
    </row>
    <row r="331">
      <c r="A331" s="8" t="n"/>
      <c r="B331" s="8" t="n"/>
      <c r="C331" s="8" t="n"/>
      <c r="D331" s="8" t="n"/>
      <c r="E331" s="9" t="n"/>
      <c r="F331" s="8" t="n"/>
      <c r="G331" s="8" t="n"/>
      <c r="H331" s="8" t="n"/>
      <c r="I331" s="8" t="n"/>
      <c r="J331" s="8" t="n"/>
      <c r="K331" s="10">
        <f>IF(OR(F331="",SUMIFS($F:$F,$B:$B,B331,$E:$E,E331)=0),"",IF(SUMIFS($I:$I,$B:$B,B331,$E:$E,E331)&gt;0,N(I331)/SUMIFS($I:$I,$B:$B,B331,$E:$E,E331),F331/SUMIFS($F:$F,$B:$B,B331,$E:$E,E331)))</f>
        <v/>
      </c>
      <c r="L331" s="3">
        <f>IF(K331="","",K331*SUMIFS(Daily!$D:$D,Daily!$B:$B,B331,Daily!$A:$A,E331)+N(J331))</f>
        <v/>
      </c>
      <c r="M331" s="3">
        <f>IF(K331="","",K331*SUMIFS(Daily!$G:$G,Daily!$B:$B,B331,Daily!$A:$A,E331))</f>
        <v/>
      </c>
      <c r="N331" s="3">
        <f>IF(K331="","",K331*SUMIFS(Daily!$H:$H,Daily!$B:$B,B331,Daily!$A:$A,E331))</f>
        <v/>
      </c>
      <c r="O331" s="3">
        <f>IF(OR(M331="",F331=0),"",M331/F331*10000)</f>
        <v/>
      </c>
      <c r="P331" s="8" t="n"/>
      <c r="Q331" s="8" t="n"/>
      <c r="R331" s="6">
        <f>IF(OR(F331="",F331=0),"",N(I331)/F331)</f>
        <v/>
      </c>
      <c r="S331" s="3">
        <f>IF(OR(F331="",F331=0),"",(N(H331)+N(Q331))/F331*1000)</f>
        <v/>
      </c>
    </row>
    <row r="332">
      <c r="A332" s="8" t="n"/>
      <c r="B332" s="8" t="n"/>
      <c r="C332" s="8" t="n"/>
      <c r="D332" s="8" t="n"/>
      <c r="E332" s="9" t="n"/>
      <c r="F332" s="8" t="n"/>
      <c r="G332" s="8" t="n"/>
      <c r="H332" s="8" t="n"/>
      <c r="I332" s="8" t="n"/>
      <c r="J332" s="8" t="n"/>
      <c r="K332" s="10">
        <f>IF(OR(F332="",SUMIFS($F:$F,$B:$B,B332,$E:$E,E332)=0),"",IF(SUMIFS($I:$I,$B:$B,B332,$E:$E,E332)&gt;0,N(I332)/SUMIFS($I:$I,$B:$B,B332,$E:$E,E332),F332/SUMIFS($F:$F,$B:$B,B332,$E:$E,E332)))</f>
        <v/>
      </c>
      <c r="L332" s="3">
        <f>IF(K332="","",K332*SUMIFS(Daily!$D:$D,Daily!$B:$B,B332,Daily!$A:$A,E332)+N(J332))</f>
        <v/>
      </c>
      <c r="M332" s="3">
        <f>IF(K332="","",K332*SUMIFS(Daily!$G:$G,Daily!$B:$B,B332,Daily!$A:$A,E332))</f>
        <v/>
      </c>
      <c r="N332" s="3">
        <f>IF(K332="","",K332*SUMIFS(Daily!$H:$H,Daily!$B:$B,B332,Daily!$A:$A,E332))</f>
        <v/>
      </c>
      <c r="O332" s="3">
        <f>IF(OR(M332="",F332=0),"",M332/F332*10000)</f>
        <v/>
      </c>
      <c r="P332" s="8" t="n"/>
      <c r="Q332" s="8" t="n"/>
      <c r="R332" s="6">
        <f>IF(OR(F332="",F332=0),"",N(I332)/F332)</f>
        <v/>
      </c>
      <c r="S332" s="3">
        <f>IF(OR(F332="",F332=0),"",(N(H332)+N(Q332))/F332*1000)</f>
        <v/>
      </c>
    </row>
    <row r="333">
      <c r="A333" s="8" t="n"/>
      <c r="B333" s="8" t="n"/>
      <c r="C333" s="8" t="n"/>
      <c r="D333" s="8" t="n"/>
      <c r="E333" s="9" t="n"/>
      <c r="F333" s="8" t="n"/>
      <c r="G333" s="8" t="n"/>
      <c r="H333" s="8" t="n"/>
      <c r="I333" s="8" t="n"/>
      <c r="J333" s="8" t="n"/>
      <c r="K333" s="10">
        <f>IF(OR(F333="",SUMIFS($F:$F,$B:$B,B333,$E:$E,E333)=0),"",IF(SUMIFS($I:$I,$B:$B,B333,$E:$E,E333)&gt;0,N(I333)/SUMIFS($I:$I,$B:$B,B333,$E:$E,E333),F333/SUMIFS($F:$F,$B:$B,B333,$E:$E,E333)))</f>
        <v/>
      </c>
      <c r="L333" s="3">
        <f>IF(K333="","",K333*SUMIFS(Daily!$D:$D,Daily!$B:$B,B333,Daily!$A:$A,E333)+N(J333))</f>
        <v/>
      </c>
      <c r="M333" s="3">
        <f>IF(K333="","",K333*SUMIFS(Daily!$G:$G,Daily!$B:$B,B333,Daily!$A:$A,E333))</f>
        <v/>
      </c>
      <c r="N333" s="3">
        <f>IF(K333="","",K333*SUMIFS(Daily!$H:$H,Daily!$B:$B,B333,Daily!$A:$A,E333))</f>
        <v/>
      </c>
      <c r="O333" s="3">
        <f>IF(OR(M333="",F333=0),"",M333/F333*10000)</f>
        <v/>
      </c>
      <c r="P333" s="8" t="n"/>
      <c r="Q333" s="8" t="n"/>
      <c r="R333" s="6">
        <f>IF(OR(F333="",F333=0),"",N(I333)/F333)</f>
        <v/>
      </c>
      <c r="S333" s="3">
        <f>IF(OR(F333="",F333=0),"",(N(H333)+N(Q333))/F333*1000)</f>
        <v/>
      </c>
    </row>
    <row r="334">
      <c r="A334" s="8" t="n"/>
      <c r="B334" s="8" t="n"/>
      <c r="C334" s="8" t="n"/>
      <c r="D334" s="8" t="n"/>
      <c r="E334" s="9" t="n"/>
      <c r="F334" s="8" t="n"/>
      <c r="G334" s="8" t="n"/>
      <c r="H334" s="8" t="n"/>
      <c r="I334" s="8" t="n"/>
      <c r="J334" s="8" t="n"/>
      <c r="K334" s="10">
        <f>IF(OR(F334="",SUMIFS($F:$F,$B:$B,B334,$E:$E,E334)=0),"",IF(SUMIFS($I:$I,$B:$B,B334,$E:$E,E334)&gt;0,N(I334)/SUMIFS($I:$I,$B:$B,B334,$E:$E,E334),F334/SUMIFS($F:$F,$B:$B,B334,$E:$E,E334)))</f>
        <v/>
      </c>
      <c r="L334" s="3">
        <f>IF(K334="","",K334*SUMIFS(Daily!$D:$D,Daily!$B:$B,B334,Daily!$A:$A,E334)+N(J334))</f>
        <v/>
      </c>
      <c r="M334" s="3">
        <f>IF(K334="","",K334*SUMIFS(Daily!$G:$G,Daily!$B:$B,B334,Daily!$A:$A,E334))</f>
        <v/>
      </c>
      <c r="N334" s="3">
        <f>IF(K334="","",K334*SUMIFS(Daily!$H:$H,Daily!$B:$B,B334,Daily!$A:$A,E334))</f>
        <v/>
      </c>
      <c r="O334" s="3">
        <f>IF(OR(M334="",F334=0),"",M334/F334*10000)</f>
        <v/>
      </c>
      <c r="P334" s="8" t="n"/>
      <c r="Q334" s="8" t="n"/>
      <c r="R334" s="6">
        <f>IF(OR(F334="",F334=0),"",N(I334)/F334)</f>
        <v/>
      </c>
      <c r="S334" s="3">
        <f>IF(OR(F334="",F334=0),"",(N(H334)+N(Q334))/F334*1000)</f>
        <v/>
      </c>
    </row>
    <row r="335">
      <c r="A335" s="8" t="n"/>
      <c r="B335" s="8" t="n"/>
      <c r="C335" s="8" t="n"/>
      <c r="D335" s="8" t="n"/>
      <c r="E335" s="9" t="n"/>
      <c r="F335" s="8" t="n"/>
      <c r="G335" s="8" t="n"/>
      <c r="H335" s="8" t="n"/>
      <c r="I335" s="8" t="n"/>
      <c r="J335" s="8" t="n"/>
      <c r="K335" s="10">
        <f>IF(OR(F335="",SUMIFS($F:$F,$B:$B,B335,$E:$E,E335)=0),"",IF(SUMIFS($I:$I,$B:$B,B335,$E:$E,E335)&gt;0,N(I335)/SUMIFS($I:$I,$B:$B,B335,$E:$E,E335),F335/SUMIFS($F:$F,$B:$B,B335,$E:$E,E335)))</f>
        <v/>
      </c>
      <c r="L335" s="3">
        <f>IF(K335="","",K335*SUMIFS(Daily!$D:$D,Daily!$B:$B,B335,Daily!$A:$A,E335)+N(J335))</f>
        <v/>
      </c>
      <c r="M335" s="3">
        <f>IF(K335="","",K335*SUMIFS(Daily!$G:$G,Daily!$B:$B,B335,Daily!$A:$A,E335))</f>
        <v/>
      </c>
      <c r="N335" s="3">
        <f>IF(K335="","",K335*SUMIFS(Daily!$H:$H,Daily!$B:$B,B335,Daily!$A:$A,E335))</f>
        <v/>
      </c>
      <c r="O335" s="3">
        <f>IF(OR(M335="",F335=0),"",M335/F335*10000)</f>
        <v/>
      </c>
      <c r="P335" s="8" t="n"/>
      <c r="Q335" s="8" t="n"/>
      <c r="R335" s="6">
        <f>IF(OR(F335="",F335=0),"",N(I335)/F335)</f>
        <v/>
      </c>
      <c r="S335" s="3">
        <f>IF(OR(F335="",F335=0),"",(N(H335)+N(Q335))/F335*1000)</f>
        <v/>
      </c>
    </row>
    <row r="336">
      <c r="A336" s="8" t="n"/>
      <c r="B336" s="8" t="n"/>
      <c r="C336" s="8" t="n"/>
      <c r="D336" s="8" t="n"/>
      <c r="E336" s="9" t="n"/>
      <c r="F336" s="8" t="n"/>
      <c r="G336" s="8" t="n"/>
      <c r="H336" s="8" t="n"/>
      <c r="I336" s="8" t="n"/>
      <c r="J336" s="8" t="n"/>
      <c r="K336" s="10">
        <f>IF(OR(F336="",SUMIFS($F:$F,$B:$B,B336,$E:$E,E336)=0),"",IF(SUMIFS($I:$I,$B:$B,B336,$E:$E,E336)&gt;0,N(I336)/SUMIFS($I:$I,$B:$B,B336,$E:$E,E336),F336/SUMIFS($F:$F,$B:$B,B336,$E:$E,E336)))</f>
        <v/>
      </c>
      <c r="L336" s="3">
        <f>IF(K336="","",K336*SUMIFS(Daily!$D:$D,Daily!$B:$B,B336,Daily!$A:$A,E336)+N(J336))</f>
        <v/>
      </c>
      <c r="M336" s="3">
        <f>IF(K336="","",K336*SUMIFS(Daily!$G:$G,Daily!$B:$B,B336,Daily!$A:$A,E336))</f>
        <v/>
      </c>
      <c r="N336" s="3">
        <f>IF(K336="","",K336*SUMIFS(Daily!$H:$H,Daily!$B:$B,B336,Daily!$A:$A,E336))</f>
        <v/>
      </c>
      <c r="O336" s="3">
        <f>IF(OR(M336="",F336=0),"",M336/F336*10000)</f>
        <v/>
      </c>
      <c r="P336" s="8" t="n"/>
      <c r="Q336" s="8" t="n"/>
      <c r="R336" s="6">
        <f>IF(OR(F336="",F336=0),"",N(I336)/F336)</f>
        <v/>
      </c>
      <c r="S336" s="3">
        <f>IF(OR(F336="",F336=0),"",(N(H336)+N(Q336))/F336*1000)</f>
        <v/>
      </c>
    </row>
    <row r="337">
      <c r="A337" s="8" t="n"/>
      <c r="B337" s="8" t="n"/>
      <c r="C337" s="8" t="n"/>
      <c r="D337" s="8" t="n"/>
      <c r="E337" s="9" t="n"/>
      <c r="F337" s="8" t="n"/>
      <c r="G337" s="8" t="n"/>
      <c r="H337" s="8" t="n"/>
      <c r="I337" s="8" t="n"/>
      <c r="J337" s="8" t="n"/>
      <c r="K337" s="10">
        <f>IF(OR(F337="",SUMIFS($F:$F,$B:$B,B337,$E:$E,E337)=0),"",IF(SUMIFS($I:$I,$B:$B,B337,$E:$E,E337)&gt;0,N(I337)/SUMIFS($I:$I,$B:$B,B337,$E:$E,E337),F337/SUMIFS($F:$F,$B:$B,B337,$E:$E,E337)))</f>
        <v/>
      </c>
      <c r="L337" s="3">
        <f>IF(K337="","",K337*SUMIFS(Daily!$D:$D,Daily!$B:$B,B337,Daily!$A:$A,E337)+N(J337))</f>
        <v/>
      </c>
      <c r="M337" s="3">
        <f>IF(K337="","",K337*SUMIFS(Daily!$G:$G,Daily!$B:$B,B337,Daily!$A:$A,E337))</f>
        <v/>
      </c>
      <c r="N337" s="3">
        <f>IF(K337="","",K337*SUMIFS(Daily!$H:$H,Daily!$B:$B,B337,Daily!$A:$A,E337))</f>
        <v/>
      </c>
      <c r="O337" s="3">
        <f>IF(OR(M337="",F337=0),"",M337/F337*10000)</f>
        <v/>
      </c>
      <c r="P337" s="8" t="n"/>
      <c r="Q337" s="8" t="n"/>
      <c r="R337" s="6">
        <f>IF(OR(F337="",F337=0),"",N(I337)/F337)</f>
        <v/>
      </c>
      <c r="S337" s="3">
        <f>IF(OR(F337="",F337=0),"",(N(H337)+N(Q337))/F337*1000)</f>
        <v/>
      </c>
    </row>
    <row r="338">
      <c r="A338" s="8" t="n"/>
      <c r="B338" s="8" t="n"/>
      <c r="C338" s="8" t="n"/>
      <c r="D338" s="8" t="n"/>
      <c r="E338" s="9" t="n"/>
      <c r="F338" s="8" t="n"/>
      <c r="G338" s="8" t="n"/>
      <c r="H338" s="8" t="n"/>
      <c r="I338" s="8" t="n"/>
      <c r="J338" s="8" t="n"/>
      <c r="K338" s="10">
        <f>IF(OR(F338="",SUMIFS($F:$F,$B:$B,B338,$E:$E,E338)=0),"",IF(SUMIFS($I:$I,$B:$B,B338,$E:$E,E338)&gt;0,N(I338)/SUMIFS($I:$I,$B:$B,B338,$E:$E,E338),F338/SUMIFS($F:$F,$B:$B,B338,$E:$E,E338)))</f>
        <v/>
      </c>
      <c r="L338" s="3">
        <f>IF(K338="","",K338*SUMIFS(Daily!$D:$D,Daily!$B:$B,B338,Daily!$A:$A,E338)+N(J338))</f>
        <v/>
      </c>
      <c r="M338" s="3">
        <f>IF(K338="","",K338*SUMIFS(Daily!$G:$G,Daily!$B:$B,B338,Daily!$A:$A,E338))</f>
        <v/>
      </c>
      <c r="N338" s="3">
        <f>IF(K338="","",K338*SUMIFS(Daily!$H:$H,Daily!$B:$B,B338,Daily!$A:$A,E338))</f>
        <v/>
      </c>
      <c r="O338" s="3">
        <f>IF(OR(M338="",F338=0),"",M338/F338*10000)</f>
        <v/>
      </c>
      <c r="P338" s="8" t="n"/>
      <c r="Q338" s="8" t="n"/>
      <c r="R338" s="6">
        <f>IF(OR(F338="",F338=0),"",N(I338)/F338)</f>
        <v/>
      </c>
      <c r="S338" s="3">
        <f>IF(OR(F338="",F338=0),"",(N(H338)+N(Q338))/F338*1000)</f>
        <v/>
      </c>
    </row>
    <row r="339">
      <c r="A339" s="8" t="n"/>
      <c r="B339" s="8" t="n"/>
      <c r="C339" s="8" t="n"/>
      <c r="D339" s="8" t="n"/>
      <c r="E339" s="9" t="n"/>
      <c r="F339" s="8" t="n"/>
      <c r="G339" s="8" t="n"/>
      <c r="H339" s="8" t="n"/>
      <c r="I339" s="8" t="n"/>
      <c r="J339" s="8" t="n"/>
      <c r="K339" s="10">
        <f>IF(OR(F339="",SUMIFS($F:$F,$B:$B,B339,$E:$E,E339)=0),"",IF(SUMIFS($I:$I,$B:$B,B339,$E:$E,E339)&gt;0,N(I339)/SUMIFS($I:$I,$B:$B,B339,$E:$E,E339),F339/SUMIFS($F:$F,$B:$B,B339,$E:$E,E339)))</f>
        <v/>
      </c>
      <c r="L339" s="3">
        <f>IF(K339="","",K339*SUMIFS(Daily!$D:$D,Daily!$B:$B,B339,Daily!$A:$A,E339)+N(J339))</f>
        <v/>
      </c>
      <c r="M339" s="3">
        <f>IF(K339="","",K339*SUMIFS(Daily!$G:$G,Daily!$B:$B,B339,Daily!$A:$A,E339))</f>
        <v/>
      </c>
      <c r="N339" s="3">
        <f>IF(K339="","",K339*SUMIFS(Daily!$H:$H,Daily!$B:$B,B339,Daily!$A:$A,E339))</f>
        <v/>
      </c>
      <c r="O339" s="3">
        <f>IF(OR(M339="",F339=0),"",M339/F339*10000)</f>
        <v/>
      </c>
      <c r="P339" s="8" t="n"/>
      <c r="Q339" s="8" t="n"/>
      <c r="R339" s="6">
        <f>IF(OR(F339="",F339=0),"",N(I339)/F339)</f>
        <v/>
      </c>
      <c r="S339" s="3">
        <f>IF(OR(F339="",F339=0),"",(N(H339)+N(Q339))/F339*1000)</f>
        <v/>
      </c>
    </row>
    <row r="340">
      <c r="A340" s="8" t="n"/>
      <c r="B340" s="8" t="n"/>
      <c r="C340" s="8" t="n"/>
      <c r="D340" s="8" t="n"/>
      <c r="E340" s="9" t="n"/>
      <c r="F340" s="8" t="n"/>
      <c r="G340" s="8" t="n"/>
      <c r="H340" s="8" t="n"/>
      <c r="I340" s="8" t="n"/>
      <c r="J340" s="8" t="n"/>
      <c r="K340" s="10">
        <f>IF(OR(F340="",SUMIFS($F:$F,$B:$B,B340,$E:$E,E340)=0),"",IF(SUMIFS($I:$I,$B:$B,B340,$E:$E,E340)&gt;0,N(I340)/SUMIFS($I:$I,$B:$B,B340,$E:$E,E340),F340/SUMIFS($F:$F,$B:$B,B340,$E:$E,E340)))</f>
        <v/>
      </c>
      <c r="L340" s="3">
        <f>IF(K340="","",K340*SUMIFS(Daily!$D:$D,Daily!$B:$B,B340,Daily!$A:$A,E340)+N(J340))</f>
        <v/>
      </c>
      <c r="M340" s="3">
        <f>IF(K340="","",K340*SUMIFS(Daily!$G:$G,Daily!$B:$B,B340,Daily!$A:$A,E340))</f>
        <v/>
      </c>
      <c r="N340" s="3">
        <f>IF(K340="","",K340*SUMIFS(Daily!$H:$H,Daily!$B:$B,B340,Daily!$A:$A,E340))</f>
        <v/>
      </c>
      <c r="O340" s="3">
        <f>IF(OR(M340="",F340=0),"",M340/F340*10000)</f>
        <v/>
      </c>
      <c r="P340" s="8" t="n"/>
      <c r="Q340" s="8" t="n"/>
      <c r="R340" s="6">
        <f>IF(OR(F340="",F340=0),"",N(I340)/F340)</f>
        <v/>
      </c>
      <c r="S340" s="3">
        <f>IF(OR(F340="",F340=0),"",(N(H340)+N(Q340))/F340*1000)</f>
        <v/>
      </c>
    </row>
    <row r="341">
      <c r="A341" s="8" t="n"/>
      <c r="B341" s="8" t="n"/>
      <c r="C341" s="8" t="n"/>
      <c r="D341" s="8" t="n"/>
      <c r="E341" s="9" t="n"/>
      <c r="F341" s="8" t="n"/>
      <c r="G341" s="8" t="n"/>
      <c r="H341" s="8" t="n"/>
      <c r="I341" s="8" t="n"/>
      <c r="J341" s="8" t="n"/>
      <c r="K341" s="10">
        <f>IF(OR(F341="",SUMIFS($F:$F,$B:$B,B341,$E:$E,E341)=0),"",IF(SUMIFS($I:$I,$B:$B,B341,$E:$E,E341)&gt;0,N(I341)/SUMIFS($I:$I,$B:$B,B341,$E:$E,E341),F341/SUMIFS($F:$F,$B:$B,B341,$E:$E,E341)))</f>
        <v/>
      </c>
      <c r="L341" s="3">
        <f>IF(K341="","",K341*SUMIFS(Daily!$D:$D,Daily!$B:$B,B341,Daily!$A:$A,E341)+N(J341))</f>
        <v/>
      </c>
      <c r="M341" s="3">
        <f>IF(K341="","",K341*SUMIFS(Daily!$G:$G,Daily!$B:$B,B341,Daily!$A:$A,E341))</f>
        <v/>
      </c>
      <c r="N341" s="3">
        <f>IF(K341="","",K341*SUMIFS(Daily!$H:$H,Daily!$B:$B,B341,Daily!$A:$A,E341))</f>
        <v/>
      </c>
      <c r="O341" s="3">
        <f>IF(OR(M341="",F341=0),"",M341/F341*10000)</f>
        <v/>
      </c>
      <c r="P341" s="8" t="n"/>
      <c r="Q341" s="8" t="n"/>
      <c r="R341" s="6">
        <f>IF(OR(F341="",F341=0),"",N(I341)/F341)</f>
        <v/>
      </c>
      <c r="S341" s="3">
        <f>IF(OR(F341="",F341=0),"",(N(H341)+N(Q341))/F341*1000)</f>
        <v/>
      </c>
    </row>
    <row r="342">
      <c r="A342" s="8" t="n"/>
      <c r="B342" s="8" t="n"/>
      <c r="C342" s="8" t="n"/>
      <c r="D342" s="8" t="n"/>
      <c r="E342" s="9" t="n"/>
      <c r="F342" s="8" t="n"/>
      <c r="G342" s="8" t="n"/>
      <c r="H342" s="8" t="n"/>
      <c r="I342" s="8" t="n"/>
      <c r="J342" s="8" t="n"/>
      <c r="K342" s="10">
        <f>IF(OR(F342="",SUMIFS($F:$F,$B:$B,B342,$E:$E,E342)=0),"",IF(SUMIFS($I:$I,$B:$B,B342,$E:$E,E342)&gt;0,N(I342)/SUMIFS($I:$I,$B:$B,B342,$E:$E,E342),F342/SUMIFS($F:$F,$B:$B,B342,$E:$E,E342)))</f>
        <v/>
      </c>
      <c r="L342" s="3">
        <f>IF(K342="","",K342*SUMIFS(Daily!$D:$D,Daily!$B:$B,B342,Daily!$A:$A,E342)+N(J342))</f>
        <v/>
      </c>
      <c r="M342" s="3">
        <f>IF(K342="","",K342*SUMIFS(Daily!$G:$G,Daily!$B:$B,B342,Daily!$A:$A,E342))</f>
        <v/>
      </c>
      <c r="N342" s="3">
        <f>IF(K342="","",K342*SUMIFS(Daily!$H:$H,Daily!$B:$B,B342,Daily!$A:$A,E342))</f>
        <v/>
      </c>
      <c r="O342" s="3">
        <f>IF(OR(M342="",F342=0),"",M342/F342*10000)</f>
        <v/>
      </c>
      <c r="P342" s="8" t="n"/>
      <c r="Q342" s="8" t="n"/>
      <c r="R342" s="6">
        <f>IF(OR(F342="",F342=0),"",N(I342)/F342)</f>
        <v/>
      </c>
      <c r="S342" s="3">
        <f>IF(OR(F342="",F342=0),"",(N(H342)+N(Q342))/F342*1000)</f>
        <v/>
      </c>
    </row>
    <row r="343">
      <c r="A343" s="8" t="n"/>
      <c r="B343" s="8" t="n"/>
      <c r="C343" s="8" t="n"/>
      <c r="D343" s="8" t="n"/>
      <c r="E343" s="9" t="n"/>
      <c r="F343" s="8" t="n"/>
      <c r="G343" s="8" t="n"/>
      <c r="H343" s="8" t="n"/>
      <c r="I343" s="8" t="n"/>
      <c r="J343" s="8" t="n"/>
      <c r="K343" s="10">
        <f>IF(OR(F343="",SUMIFS($F:$F,$B:$B,B343,$E:$E,E343)=0),"",IF(SUMIFS($I:$I,$B:$B,B343,$E:$E,E343)&gt;0,N(I343)/SUMIFS($I:$I,$B:$B,B343,$E:$E,E343),F343/SUMIFS($F:$F,$B:$B,B343,$E:$E,E343)))</f>
        <v/>
      </c>
      <c r="L343" s="3">
        <f>IF(K343="","",K343*SUMIFS(Daily!$D:$D,Daily!$B:$B,B343,Daily!$A:$A,E343)+N(J343))</f>
        <v/>
      </c>
      <c r="M343" s="3">
        <f>IF(K343="","",K343*SUMIFS(Daily!$G:$G,Daily!$B:$B,B343,Daily!$A:$A,E343))</f>
        <v/>
      </c>
      <c r="N343" s="3">
        <f>IF(K343="","",K343*SUMIFS(Daily!$H:$H,Daily!$B:$B,B343,Daily!$A:$A,E343))</f>
        <v/>
      </c>
      <c r="O343" s="3">
        <f>IF(OR(M343="",F343=0),"",M343/F343*10000)</f>
        <v/>
      </c>
      <c r="P343" s="8" t="n"/>
      <c r="Q343" s="8" t="n"/>
      <c r="R343" s="6">
        <f>IF(OR(F343="",F343=0),"",N(I343)/F343)</f>
        <v/>
      </c>
      <c r="S343" s="3">
        <f>IF(OR(F343="",F343=0),"",(N(H343)+N(Q343))/F343*1000)</f>
        <v/>
      </c>
    </row>
    <row r="344">
      <c r="A344" s="8" t="n"/>
      <c r="B344" s="8" t="n"/>
      <c r="C344" s="8" t="n"/>
      <c r="D344" s="8" t="n"/>
      <c r="E344" s="9" t="n"/>
      <c r="F344" s="8" t="n"/>
      <c r="G344" s="8" t="n"/>
      <c r="H344" s="8" t="n"/>
      <c r="I344" s="8" t="n"/>
      <c r="J344" s="8" t="n"/>
      <c r="K344" s="10">
        <f>IF(OR(F344="",SUMIFS($F:$F,$B:$B,B344,$E:$E,E344)=0),"",IF(SUMIFS($I:$I,$B:$B,B344,$E:$E,E344)&gt;0,N(I344)/SUMIFS($I:$I,$B:$B,B344,$E:$E,E344),F344/SUMIFS($F:$F,$B:$B,B344,$E:$E,E344)))</f>
        <v/>
      </c>
      <c r="L344" s="3">
        <f>IF(K344="","",K344*SUMIFS(Daily!$D:$D,Daily!$B:$B,B344,Daily!$A:$A,E344)+N(J344))</f>
        <v/>
      </c>
      <c r="M344" s="3">
        <f>IF(K344="","",K344*SUMIFS(Daily!$G:$G,Daily!$B:$B,B344,Daily!$A:$A,E344))</f>
        <v/>
      </c>
      <c r="N344" s="3">
        <f>IF(K344="","",K344*SUMIFS(Daily!$H:$H,Daily!$B:$B,B344,Daily!$A:$A,E344))</f>
        <v/>
      </c>
      <c r="O344" s="3">
        <f>IF(OR(M344="",F344=0),"",M344/F344*10000)</f>
        <v/>
      </c>
      <c r="P344" s="8" t="n"/>
      <c r="Q344" s="8" t="n"/>
      <c r="R344" s="6">
        <f>IF(OR(F344="",F344=0),"",N(I344)/F344)</f>
        <v/>
      </c>
      <c r="S344" s="3">
        <f>IF(OR(F344="",F344=0),"",(N(H344)+N(Q344))/F344*1000)</f>
        <v/>
      </c>
    </row>
    <row r="345">
      <c r="A345" s="8" t="n"/>
      <c r="B345" s="8" t="n"/>
      <c r="C345" s="8" t="n"/>
      <c r="D345" s="8" t="n"/>
      <c r="E345" s="9" t="n"/>
      <c r="F345" s="8" t="n"/>
      <c r="G345" s="8" t="n"/>
      <c r="H345" s="8" t="n"/>
      <c r="I345" s="8" t="n"/>
      <c r="J345" s="8" t="n"/>
      <c r="K345" s="10">
        <f>IF(OR(F345="",SUMIFS($F:$F,$B:$B,B345,$E:$E,E345)=0),"",IF(SUMIFS($I:$I,$B:$B,B345,$E:$E,E345)&gt;0,N(I345)/SUMIFS($I:$I,$B:$B,B345,$E:$E,E345),F345/SUMIFS($F:$F,$B:$B,B345,$E:$E,E345)))</f>
        <v/>
      </c>
      <c r="L345" s="3">
        <f>IF(K345="","",K345*SUMIFS(Daily!$D:$D,Daily!$B:$B,B345,Daily!$A:$A,E345)+N(J345))</f>
        <v/>
      </c>
      <c r="M345" s="3">
        <f>IF(K345="","",K345*SUMIFS(Daily!$G:$G,Daily!$B:$B,B345,Daily!$A:$A,E345))</f>
        <v/>
      </c>
      <c r="N345" s="3">
        <f>IF(K345="","",K345*SUMIFS(Daily!$H:$H,Daily!$B:$B,B345,Daily!$A:$A,E345))</f>
        <v/>
      </c>
      <c r="O345" s="3">
        <f>IF(OR(M345="",F345=0),"",M345/F345*10000)</f>
        <v/>
      </c>
      <c r="P345" s="8" t="n"/>
      <c r="Q345" s="8" t="n"/>
      <c r="R345" s="6">
        <f>IF(OR(F345="",F345=0),"",N(I345)/F345)</f>
        <v/>
      </c>
      <c r="S345" s="3">
        <f>IF(OR(F345="",F345=0),"",(N(H345)+N(Q345))/F345*1000)</f>
        <v/>
      </c>
    </row>
    <row r="346">
      <c r="A346" s="8" t="n"/>
      <c r="B346" s="8" t="n"/>
      <c r="C346" s="8" t="n"/>
      <c r="D346" s="8" t="n"/>
      <c r="E346" s="9" t="n"/>
      <c r="F346" s="8" t="n"/>
      <c r="G346" s="8" t="n"/>
      <c r="H346" s="8" t="n"/>
      <c r="I346" s="8" t="n"/>
      <c r="J346" s="8" t="n"/>
      <c r="K346" s="10">
        <f>IF(OR(F346="",SUMIFS($F:$F,$B:$B,B346,$E:$E,E346)=0),"",IF(SUMIFS($I:$I,$B:$B,B346,$E:$E,E346)&gt;0,N(I346)/SUMIFS($I:$I,$B:$B,B346,$E:$E,E346),F346/SUMIFS($F:$F,$B:$B,B346,$E:$E,E346)))</f>
        <v/>
      </c>
      <c r="L346" s="3">
        <f>IF(K346="","",K346*SUMIFS(Daily!$D:$D,Daily!$B:$B,B346,Daily!$A:$A,E346)+N(J346))</f>
        <v/>
      </c>
      <c r="M346" s="3">
        <f>IF(K346="","",K346*SUMIFS(Daily!$G:$G,Daily!$B:$B,B346,Daily!$A:$A,E346))</f>
        <v/>
      </c>
      <c r="N346" s="3">
        <f>IF(K346="","",K346*SUMIFS(Daily!$H:$H,Daily!$B:$B,B346,Daily!$A:$A,E346))</f>
        <v/>
      </c>
      <c r="O346" s="3">
        <f>IF(OR(M346="",F346=0),"",M346/F346*10000)</f>
        <v/>
      </c>
      <c r="P346" s="8" t="n"/>
      <c r="Q346" s="8" t="n"/>
      <c r="R346" s="6">
        <f>IF(OR(F346="",F346=0),"",N(I346)/F346)</f>
        <v/>
      </c>
      <c r="S346" s="3">
        <f>IF(OR(F346="",F346=0),"",(N(H346)+N(Q346))/F346*1000)</f>
        <v/>
      </c>
    </row>
    <row r="347">
      <c r="A347" s="8" t="n"/>
      <c r="B347" s="8" t="n"/>
      <c r="C347" s="8" t="n"/>
      <c r="D347" s="8" t="n"/>
      <c r="E347" s="9" t="n"/>
      <c r="F347" s="8" t="n"/>
      <c r="G347" s="8" t="n"/>
      <c r="H347" s="8" t="n"/>
      <c r="I347" s="8" t="n"/>
      <c r="J347" s="8" t="n"/>
      <c r="K347" s="10">
        <f>IF(OR(F347="",SUMIFS($F:$F,$B:$B,B347,$E:$E,E347)=0),"",IF(SUMIFS($I:$I,$B:$B,B347,$E:$E,E347)&gt;0,N(I347)/SUMIFS($I:$I,$B:$B,B347,$E:$E,E347),F347/SUMIFS($F:$F,$B:$B,B347,$E:$E,E347)))</f>
        <v/>
      </c>
      <c r="L347" s="3">
        <f>IF(K347="","",K347*SUMIFS(Daily!$D:$D,Daily!$B:$B,B347,Daily!$A:$A,E347)+N(J347))</f>
        <v/>
      </c>
      <c r="M347" s="3">
        <f>IF(K347="","",K347*SUMIFS(Daily!$G:$G,Daily!$B:$B,B347,Daily!$A:$A,E347))</f>
        <v/>
      </c>
      <c r="N347" s="3">
        <f>IF(K347="","",K347*SUMIFS(Daily!$H:$H,Daily!$B:$B,B347,Daily!$A:$A,E347))</f>
        <v/>
      </c>
      <c r="O347" s="3">
        <f>IF(OR(M347="",F347=0),"",M347/F347*10000)</f>
        <v/>
      </c>
      <c r="P347" s="8" t="n"/>
      <c r="Q347" s="8" t="n"/>
      <c r="R347" s="6">
        <f>IF(OR(F347="",F347=0),"",N(I347)/F347)</f>
        <v/>
      </c>
      <c r="S347" s="3">
        <f>IF(OR(F347="",F347=0),"",(N(H347)+N(Q347))/F347*1000)</f>
        <v/>
      </c>
    </row>
    <row r="348">
      <c r="A348" s="8" t="n"/>
      <c r="B348" s="8" t="n"/>
      <c r="C348" s="8" t="n"/>
      <c r="D348" s="8" t="n"/>
      <c r="E348" s="9" t="n"/>
      <c r="F348" s="8" t="n"/>
      <c r="G348" s="8" t="n"/>
      <c r="H348" s="8" t="n"/>
      <c r="I348" s="8" t="n"/>
      <c r="J348" s="8" t="n"/>
      <c r="K348" s="10">
        <f>IF(OR(F348="",SUMIFS($F:$F,$B:$B,B348,$E:$E,E348)=0),"",IF(SUMIFS($I:$I,$B:$B,B348,$E:$E,E348)&gt;0,N(I348)/SUMIFS($I:$I,$B:$B,B348,$E:$E,E348),F348/SUMIFS($F:$F,$B:$B,B348,$E:$E,E348)))</f>
        <v/>
      </c>
      <c r="L348" s="3">
        <f>IF(K348="","",K348*SUMIFS(Daily!$D:$D,Daily!$B:$B,B348,Daily!$A:$A,E348)+N(J348))</f>
        <v/>
      </c>
      <c r="M348" s="3">
        <f>IF(K348="","",K348*SUMIFS(Daily!$G:$G,Daily!$B:$B,B348,Daily!$A:$A,E348))</f>
        <v/>
      </c>
      <c r="N348" s="3">
        <f>IF(K348="","",K348*SUMIFS(Daily!$H:$H,Daily!$B:$B,B348,Daily!$A:$A,E348))</f>
        <v/>
      </c>
      <c r="O348" s="3">
        <f>IF(OR(M348="",F348=0),"",M348/F348*10000)</f>
        <v/>
      </c>
      <c r="P348" s="8" t="n"/>
      <c r="Q348" s="8" t="n"/>
      <c r="R348" s="6">
        <f>IF(OR(F348="",F348=0),"",N(I348)/F348)</f>
        <v/>
      </c>
      <c r="S348" s="3">
        <f>IF(OR(F348="",F348=0),"",(N(H348)+N(Q348))/F348*1000)</f>
        <v/>
      </c>
    </row>
    <row r="349">
      <c r="A349" s="8" t="n"/>
      <c r="B349" s="8" t="n"/>
      <c r="C349" s="8" t="n"/>
      <c r="D349" s="8" t="n"/>
      <c r="E349" s="9" t="n"/>
      <c r="F349" s="8" t="n"/>
      <c r="G349" s="8" t="n"/>
      <c r="H349" s="8" t="n"/>
      <c r="I349" s="8" t="n"/>
      <c r="J349" s="8" t="n"/>
      <c r="K349" s="10">
        <f>IF(OR(F349="",SUMIFS($F:$F,$B:$B,B349,$E:$E,E349)=0),"",IF(SUMIFS($I:$I,$B:$B,B349,$E:$E,E349)&gt;0,N(I349)/SUMIFS($I:$I,$B:$B,B349,$E:$E,E349),F349/SUMIFS($F:$F,$B:$B,B349,$E:$E,E349)))</f>
        <v/>
      </c>
      <c r="L349" s="3">
        <f>IF(K349="","",K349*SUMIFS(Daily!$D:$D,Daily!$B:$B,B349,Daily!$A:$A,E349)+N(J349))</f>
        <v/>
      </c>
      <c r="M349" s="3">
        <f>IF(K349="","",K349*SUMIFS(Daily!$G:$G,Daily!$B:$B,B349,Daily!$A:$A,E349))</f>
        <v/>
      </c>
      <c r="N349" s="3">
        <f>IF(K349="","",K349*SUMIFS(Daily!$H:$H,Daily!$B:$B,B349,Daily!$A:$A,E349))</f>
        <v/>
      </c>
      <c r="O349" s="3">
        <f>IF(OR(M349="",F349=0),"",M349/F349*10000)</f>
        <v/>
      </c>
      <c r="P349" s="8" t="n"/>
      <c r="Q349" s="8" t="n"/>
      <c r="R349" s="6">
        <f>IF(OR(F349="",F349=0),"",N(I349)/F349)</f>
        <v/>
      </c>
      <c r="S349" s="3">
        <f>IF(OR(F349="",F349=0),"",(N(H349)+N(Q349))/F349*1000)</f>
        <v/>
      </c>
    </row>
    <row r="350">
      <c r="A350" s="8" t="n"/>
      <c r="B350" s="8" t="n"/>
      <c r="C350" s="8" t="n"/>
      <c r="D350" s="8" t="n"/>
      <c r="E350" s="9" t="n"/>
      <c r="F350" s="8" t="n"/>
      <c r="G350" s="8" t="n"/>
      <c r="H350" s="8" t="n"/>
      <c r="I350" s="8" t="n"/>
      <c r="J350" s="8" t="n"/>
      <c r="K350" s="10">
        <f>IF(OR(F350="",SUMIFS($F:$F,$B:$B,B350,$E:$E,E350)=0),"",IF(SUMIFS($I:$I,$B:$B,B350,$E:$E,E350)&gt;0,N(I350)/SUMIFS($I:$I,$B:$B,B350,$E:$E,E350),F350/SUMIFS($F:$F,$B:$B,B350,$E:$E,E350)))</f>
        <v/>
      </c>
      <c r="L350" s="3">
        <f>IF(K350="","",K350*SUMIFS(Daily!$D:$D,Daily!$B:$B,B350,Daily!$A:$A,E350)+N(J350))</f>
        <v/>
      </c>
      <c r="M350" s="3">
        <f>IF(K350="","",K350*SUMIFS(Daily!$G:$G,Daily!$B:$B,B350,Daily!$A:$A,E350))</f>
        <v/>
      </c>
      <c r="N350" s="3">
        <f>IF(K350="","",K350*SUMIFS(Daily!$H:$H,Daily!$B:$B,B350,Daily!$A:$A,E350))</f>
        <v/>
      </c>
      <c r="O350" s="3">
        <f>IF(OR(M350="",F350=0),"",M350/F350*10000)</f>
        <v/>
      </c>
      <c r="P350" s="8" t="n"/>
      <c r="Q350" s="8" t="n"/>
      <c r="R350" s="6">
        <f>IF(OR(F350="",F350=0),"",N(I350)/F350)</f>
        <v/>
      </c>
      <c r="S350" s="3">
        <f>IF(OR(F350="",F350=0),"",(N(H350)+N(Q350))/F350*1000)</f>
        <v/>
      </c>
    </row>
    <row r="351">
      <c r="A351" s="8" t="n"/>
      <c r="B351" s="8" t="n"/>
      <c r="C351" s="8" t="n"/>
      <c r="D351" s="8" t="n"/>
      <c r="E351" s="9" t="n"/>
      <c r="F351" s="8" t="n"/>
      <c r="G351" s="8" t="n"/>
      <c r="H351" s="8" t="n"/>
      <c r="I351" s="8" t="n"/>
      <c r="J351" s="8" t="n"/>
      <c r="K351" s="10">
        <f>IF(OR(F351="",SUMIFS($F:$F,$B:$B,B351,$E:$E,E351)=0),"",IF(SUMIFS($I:$I,$B:$B,B351,$E:$E,E351)&gt;0,N(I351)/SUMIFS($I:$I,$B:$B,B351,$E:$E,E351),F351/SUMIFS($F:$F,$B:$B,B351,$E:$E,E351)))</f>
        <v/>
      </c>
      <c r="L351" s="3">
        <f>IF(K351="","",K351*SUMIFS(Daily!$D:$D,Daily!$B:$B,B351,Daily!$A:$A,E351)+N(J351))</f>
        <v/>
      </c>
      <c r="M351" s="3">
        <f>IF(K351="","",K351*SUMIFS(Daily!$G:$G,Daily!$B:$B,B351,Daily!$A:$A,E351))</f>
        <v/>
      </c>
      <c r="N351" s="3">
        <f>IF(K351="","",K351*SUMIFS(Daily!$H:$H,Daily!$B:$B,B351,Daily!$A:$A,E351))</f>
        <v/>
      </c>
      <c r="O351" s="3">
        <f>IF(OR(M351="",F351=0),"",M351/F351*10000)</f>
        <v/>
      </c>
      <c r="P351" s="8" t="n"/>
      <c r="Q351" s="8" t="n"/>
      <c r="R351" s="6">
        <f>IF(OR(F351="",F351=0),"",N(I351)/F351)</f>
        <v/>
      </c>
      <c r="S351" s="3">
        <f>IF(OR(F351="",F351=0),"",(N(H351)+N(Q351))/F351*1000)</f>
        <v/>
      </c>
    </row>
    <row r="352">
      <c r="A352" s="8" t="n"/>
      <c r="B352" s="8" t="n"/>
      <c r="C352" s="8" t="n"/>
      <c r="D352" s="8" t="n"/>
      <c r="E352" s="9" t="n"/>
      <c r="F352" s="8" t="n"/>
      <c r="G352" s="8" t="n"/>
      <c r="H352" s="8" t="n"/>
      <c r="I352" s="8" t="n"/>
      <c r="J352" s="8" t="n"/>
      <c r="K352" s="10">
        <f>IF(OR(F352="",SUMIFS($F:$F,$B:$B,B352,$E:$E,E352)=0),"",IF(SUMIFS($I:$I,$B:$B,B352,$E:$E,E352)&gt;0,N(I352)/SUMIFS($I:$I,$B:$B,B352,$E:$E,E352),F352/SUMIFS($F:$F,$B:$B,B352,$E:$E,E352)))</f>
        <v/>
      </c>
      <c r="L352" s="3">
        <f>IF(K352="","",K352*SUMIFS(Daily!$D:$D,Daily!$B:$B,B352,Daily!$A:$A,E352)+N(J352))</f>
        <v/>
      </c>
      <c r="M352" s="3">
        <f>IF(K352="","",K352*SUMIFS(Daily!$G:$G,Daily!$B:$B,B352,Daily!$A:$A,E352))</f>
        <v/>
      </c>
      <c r="N352" s="3">
        <f>IF(K352="","",K352*SUMIFS(Daily!$H:$H,Daily!$B:$B,B352,Daily!$A:$A,E352))</f>
        <v/>
      </c>
      <c r="O352" s="3">
        <f>IF(OR(M352="",F352=0),"",M352/F352*10000)</f>
        <v/>
      </c>
      <c r="P352" s="8" t="n"/>
      <c r="Q352" s="8" t="n"/>
      <c r="R352" s="6">
        <f>IF(OR(F352="",F352=0),"",N(I352)/F352)</f>
        <v/>
      </c>
      <c r="S352" s="3">
        <f>IF(OR(F352="",F352=0),"",(N(H352)+N(Q352))/F352*1000)</f>
        <v/>
      </c>
    </row>
    <row r="353">
      <c r="A353" s="8" t="n"/>
      <c r="B353" s="8" t="n"/>
      <c r="C353" s="8" t="n"/>
      <c r="D353" s="8" t="n"/>
      <c r="E353" s="9" t="n"/>
      <c r="F353" s="8" t="n"/>
      <c r="G353" s="8" t="n"/>
      <c r="H353" s="8" t="n"/>
      <c r="I353" s="8" t="n"/>
      <c r="J353" s="8" t="n"/>
      <c r="K353" s="10">
        <f>IF(OR(F353="",SUMIFS($F:$F,$B:$B,B353,$E:$E,E353)=0),"",IF(SUMIFS($I:$I,$B:$B,B353,$E:$E,E353)&gt;0,N(I353)/SUMIFS($I:$I,$B:$B,B353,$E:$E,E353),F353/SUMIFS($F:$F,$B:$B,B353,$E:$E,E353)))</f>
        <v/>
      </c>
      <c r="L353" s="3">
        <f>IF(K353="","",K353*SUMIFS(Daily!$D:$D,Daily!$B:$B,B353,Daily!$A:$A,E353)+N(J353))</f>
        <v/>
      </c>
      <c r="M353" s="3">
        <f>IF(K353="","",K353*SUMIFS(Daily!$G:$G,Daily!$B:$B,B353,Daily!$A:$A,E353))</f>
        <v/>
      </c>
      <c r="N353" s="3">
        <f>IF(K353="","",K353*SUMIFS(Daily!$H:$H,Daily!$B:$B,B353,Daily!$A:$A,E353))</f>
        <v/>
      </c>
      <c r="O353" s="3">
        <f>IF(OR(M353="",F353=0),"",M353/F353*10000)</f>
        <v/>
      </c>
      <c r="P353" s="8" t="n"/>
      <c r="Q353" s="8" t="n"/>
      <c r="R353" s="6">
        <f>IF(OR(F353="",F353=0),"",N(I353)/F353)</f>
        <v/>
      </c>
      <c r="S353" s="3">
        <f>IF(OR(F353="",F353=0),"",(N(H353)+N(Q353))/F353*1000)</f>
        <v/>
      </c>
    </row>
    <row r="354">
      <c r="A354" s="8" t="n"/>
      <c r="B354" s="8" t="n"/>
      <c r="C354" s="8" t="n"/>
      <c r="D354" s="8" t="n"/>
      <c r="E354" s="9" t="n"/>
      <c r="F354" s="8" t="n"/>
      <c r="G354" s="8" t="n"/>
      <c r="H354" s="8" t="n"/>
      <c r="I354" s="8" t="n"/>
      <c r="J354" s="8" t="n"/>
      <c r="K354" s="10">
        <f>IF(OR(F354="",SUMIFS($F:$F,$B:$B,B354,$E:$E,E354)=0),"",IF(SUMIFS($I:$I,$B:$B,B354,$E:$E,E354)&gt;0,N(I354)/SUMIFS($I:$I,$B:$B,B354,$E:$E,E354),F354/SUMIFS($F:$F,$B:$B,B354,$E:$E,E354)))</f>
        <v/>
      </c>
      <c r="L354" s="3">
        <f>IF(K354="","",K354*SUMIFS(Daily!$D:$D,Daily!$B:$B,B354,Daily!$A:$A,E354)+N(J354))</f>
        <v/>
      </c>
      <c r="M354" s="3">
        <f>IF(K354="","",K354*SUMIFS(Daily!$G:$G,Daily!$B:$B,B354,Daily!$A:$A,E354))</f>
        <v/>
      </c>
      <c r="N354" s="3">
        <f>IF(K354="","",K354*SUMIFS(Daily!$H:$H,Daily!$B:$B,B354,Daily!$A:$A,E354))</f>
        <v/>
      </c>
      <c r="O354" s="3">
        <f>IF(OR(M354="",F354=0),"",M354/F354*10000)</f>
        <v/>
      </c>
      <c r="P354" s="8" t="n"/>
      <c r="Q354" s="8" t="n"/>
      <c r="R354" s="6">
        <f>IF(OR(F354="",F354=0),"",N(I354)/F354)</f>
        <v/>
      </c>
      <c r="S354" s="3">
        <f>IF(OR(F354="",F354=0),"",(N(H354)+N(Q354))/F354*1000)</f>
        <v/>
      </c>
    </row>
    <row r="355">
      <c r="A355" s="8" t="n"/>
      <c r="B355" s="8" t="n"/>
      <c r="C355" s="8" t="n"/>
      <c r="D355" s="8" t="n"/>
      <c r="E355" s="9" t="n"/>
      <c r="F355" s="8" t="n"/>
      <c r="G355" s="8" t="n"/>
      <c r="H355" s="8" t="n"/>
      <c r="I355" s="8" t="n"/>
      <c r="J355" s="8" t="n"/>
      <c r="K355" s="10">
        <f>IF(OR(F355="",SUMIFS($F:$F,$B:$B,B355,$E:$E,E355)=0),"",IF(SUMIFS($I:$I,$B:$B,B355,$E:$E,E355)&gt;0,N(I355)/SUMIFS($I:$I,$B:$B,B355,$E:$E,E355),F355/SUMIFS($F:$F,$B:$B,B355,$E:$E,E355)))</f>
        <v/>
      </c>
      <c r="L355" s="3">
        <f>IF(K355="","",K355*SUMIFS(Daily!$D:$D,Daily!$B:$B,B355,Daily!$A:$A,E355)+N(J355))</f>
        <v/>
      </c>
      <c r="M355" s="3">
        <f>IF(K355="","",K355*SUMIFS(Daily!$G:$G,Daily!$B:$B,B355,Daily!$A:$A,E355))</f>
        <v/>
      </c>
      <c r="N355" s="3">
        <f>IF(K355="","",K355*SUMIFS(Daily!$H:$H,Daily!$B:$B,B355,Daily!$A:$A,E355))</f>
        <v/>
      </c>
      <c r="O355" s="3">
        <f>IF(OR(M355="",F355=0),"",M355/F355*10000)</f>
        <v/>
      </c>
      <c r="P355" s="8" t="n"/>
      <c r="Q355" s="8" t="n"/>
      <c r="R355" s="6">
        <f>IF(OR(F355="",F355=0),"",N(I355)/F355)</f>
        <v/>
      </c>
      <c r="S355" s="3">
        <f>IF(OR(F355="",F355=0),"",(N(H355)+N(Q355))/F355*1000)</f>
        <v/>
      </c>
    </row>
    <row r="356">
      <c r="A356" s="8" t="n"/>
      <c r="B356" s="8" t="n"/>
      <c r="C356" s="8" t="n"/>
      <c r="D356" s="8" t="n"/>
      <c r="E356" s="9" t="n"/>
      <c r="F356" s="8" t="n"/>
      <c r="G356" s="8" t="n"/>
      <c r="H356" s="8" t="n"/>
      <c r="I356" s="8" t="n"/>
      <c r="J356" s="8" t="n"/>
      <c r="K356" s="10">
        <f>IF(OR(F356="",SUMIFS($F:$F,$B:$B,B356,$E:$E,E356)=0),"",IF(SUMIFS($I:$I,$B:$B,B356,$E:$E,E356)&gt;0,N(I356)/SUMIFS($I:$I,$B:$B,B356,$E:$E,E356),F356/SUMIFS($F:$F,$B:$B,B356,$E:$E,E356)))</f>
        <v/>
      </c>
      <c r="L356" s="3">
        <f>IF(K356="","",K356*SUMIFS(Daily!$D:$D,Daily!$B:$B,B356,Daily!$A:$A,E356)+N(J356))</f>
        <v/>
      </c>
      <c r="M356" s="3">
        <f>IF(K356="","",K356*SUMIFS(Daily!$G:$G,Daily!$B:$B,B356,Daily!$A:$A,E356))</f>
        <v/>
      </c>
      <c r="N356" s="3">
        <f>IF(K356="","",K356*SUMIFS(Daily!$H:$H,Daily!$B:$B,B356,Daily!$A:$A,E356))</f>
        <v/>
      </c>
      <c r="O356" s="3">
        <f>IF(OR(M356="",F356=0),"",M356/F356*10000)</f>
        <v/>
      </c>
      <c r="P356" s="8" t="n"/>
      <c r="Q356" s="8" t="n"/>
      <c r="R356" s="6">
        <f>IF(OR(F356="",F356=0),"",N(I356)/F356)</f>
        <v/>
      </c>
      <c r="S356" s="3">
        <f>IF(OR(F356="",F356=0),"",(N(H356)+N(Q356))/F356*1000)</f>
        <v/>
      </c>
    </row>
    <row r="357">
      <c r="A357" s="8" t="n"/>
      <c r="B357" s="8" t="n"/>
      <c r="C357" s="8" t="n"/>
      <c r="D357" s="8" t="n"/>
      <c r="E357" s="9" t="n"/>
      <c r="F357" s="8" t="n"/>
      <c r="G357" s="8" t="n"/>
      <c r="H357" s="8" t="n"/>
      <c r="I357" s="8" t="n"/>
      <c r="J357" s="8" t="n"/>
      <c r="K357" s="10">
        <f>IF(OR(F357="",SUMIFS($F:$F,$B:$B,B357,$E:$E,E357)=0),"",IF(SUMIFS($I:$I,$B:$B,B357,$E:$E,E357)&gt;0,N(I357)/SUMIFS($I:$I,$B:$B,B357,$E:$E,E357),F357/SUMIFS($F:$F,$B:$B,B357,$E:$E,E357)))</f>
        <v/>
      </c>
      <c r="L357" s="3">
        <f>IF(K357="","",K357*SUMIFS(Daily!$D:$D,Daily!$B:$B,B357,Daily!$A:$A,E357)+N(J357))</f>
        <v/>
      </c>
      <c r="M357" s="3">
        <f>IF(K357="","",K357*SUMIFS(Daily!$G:$G,Daily!$B:$B,B357,Daily!$A:$A,E357))</f>
        <v/>
      </c>
      <c r="N357" s="3">
        <f>IF(K357="","",K357*SUMIFS(Daily!$H:$H,Daily!$B:$B,B357,Daily!$A:$A,E357))</f>
        <v/>
      </c>
      <c r="O357" s="3">
        <f>IF(OR(M357="",F357=0),"",M357/F357*10000)</f>
        <v/>
      </c>
      <c r="P357" s="8" t="n"/>
      <c r="Q357" s="8" t="n"/>
      <c r="R357" s="6">
        <f>IF(OR(F357="",F357=0),"",N(I357)/F357)</f>
        <v/>
      </c>
      <c r="S357" s="3">
        <f>IF(OR(F357="",F357=0),"",(N(H357)+N(Q357))/F357*1000)</f>
        <v/>
      </c>
    </row>
    <row r="358">
      <c r="A358" s="8" t="n"/>
      <c r="B358" s="8" t="n"/>
      <c r="C358" s="8" t="n"/>
      <c r="D358" s="8" t="n"/>
      <c r="E358" s="9" t="n"/>
      <c r="F358" s="8" t="n"/>
      <c r="G358" s="8" t="n"/>
      <c r="H358" s="8" t="n"/>
      <c r="I358" s="8" t="n"/>
      <c r="J358" s="8" t="n"/>
      <c r="K358" s="10">
        <f>IF(OR(F358="",SUMIFS($F:$F,$B:$B,B358,$E:$E,E358)=0),"",IF(SUMIFS($I:$I,$B:$B,B358,$E:$E,E358)&gt;0,N(I358)/SUMIFS($I:$I,$B:$B,B358,$E:$E,E358),F358/SUMIFS($F:$F,$B:$B,B358,$E:$E,E358)))</f>
        <v/>
      </c>
      <c r="L358" s="3">
        <f>IF(K358="","",K358*SUMIFS(Daily!$D:$D,Daily!$B:$B,B358,Daily!$A:$A,E358)+N(J358))</f>
        <v/>
      </c>
      <c r="M358" s="3">
        <f>IF(K358="","",K358*SUMIFS(Daily!$G:$G,Daily!$B:$B,B358,Daily!$A:$A,E358))</f>
        <v/>
      </c>
      <c r="N358" s="3">
        <f>IF(K358="","",K358*SUMIFS(Daily!$H:$H,Daily!$B:$B,B358,Daily!$A:$A,E358))</f>
        <v/>
      </c>
      <c r="O358" s="3">
        <f>IF(OR(M358="",F358=0),"",M358/F358*10000)</f>
        <v/>
      </c>
      <c r="P358" s="8" t="n"/>
      <c r="Q358" s="8" t="n"/>
      <c r="R358" s="6">
        <f>IF(OR(F358="",F358=0),"",N(I358)/F358)</f>
        <v/>
      </c>
      <c r="S358" s="3">
        <f>IF(OR(F358="",F358=0),"",(N(H358)+N(Q358))/F358*1000)</f>
        <v/>
      </c>
    </row>
    <row r="359">
      <c r="A359" s="8" t="n"/>
      <c r="B359" s="8" t="n"/>
      <c r="C359" s="8" t="n"/>
      <c r="D359" s="8" t="n"/>
      <c r="E359" s="9" t="n"/>
      <c r="F359" s="8" t="n"/>
      <c r="G359" s="8" t="n"/>
      <c r="H359" s="8" t="n"/>
      <c r="I359" s="8" t="n"/>
      <c r="J359" s="8" t="n"/>
      <c r="K359" s="10">
        <f>IF(OR(F359="",SUMIFS($F:$F,$B:$B,B359,$E:$E,E359)=0),"",IF(SUMIFS($I:$I,$B:$B,B359,$E:$E,E359)&gt;0,N(I359)/SUMIFS($I:$I,$B:$B,B359,$E:$E,E359),F359/SUMIFS($F:$F,$B:$B,B359,$E:$E,E359)))</f>
        <v/>
      </c>
      <c r="L359" s="3">
        <f>IF(K359="","",K359*SUMIFS(Daily!$D:$D,Daily!$B:$B,B359,Daily!$A:$A,E359)+N(J359))</f>
        <v/>
      </c>
      <c r="M359" s="3">
        <f>IF(K359="","",K359*SUMIFS(Daily!$G:$G,Daily!$B:$B,B359,Daily!$A:$A,E359))</f>
        <v/>
      </c>
      <c r="N359" s="3">
        <f>IF(K359="","",K359*SUMIFS(Daily!$H:$H,Daily!$B:$B,B359,Daily!$A:$A,E359))</f>
        <v/>
      </c>
      <c r="O359" s="3">
        <f>IF(OR(M359="",F359=0),"",M359/F359*10000)</f>
        <v/>
      </c>
      <c r="P359" s="8" t="n"/>
      <c r="Q359" s="8" t="n"/>
      <c r="R359" s="6">
        <f>IF(OR(F359="",F359=0),"",N(I359)/F359)</f>
        <v/>
      </c>
      <c r="S359" s="3">
        <f>IF(OR(F359="",F359=0),"",(N(H359)+N(Q359))/F359*1000)</f>
        <v/>
      </c>
    </row>
    <row r="360">
      <c r="A360" s="8" t="n"/>
      <c r="B360" s="8" t="n"/>
      <c r="C360" s="8" t="n"/>
      <c r="D360" s="8" t="n"/>
      <c r="E360" s="9" t="n"/>
      <c r="F360" s="8" t="n"/>
      <c r="G360" s="8" t="n"/>
      <c r="H360" s="8" t="n"/>
      <c r="I360" s="8" t="n"/>
      <c r="J360" s="8" t="n"/>
      <c r="K360" s="10">
        <f>IF(OR(F360="",SUMIFS($F:$F,$B:$B,B360,$E:$E,E360)=0),"",IF(SUMIFS($I:$I,$B:$B,B360,$E:$E,E360)&gt;0,N(I360)/SUMIFS($I:$I,$B:$B,B360,$E:$E,E360),F360/SUMIFS($F:$F,$B:$B,B360,$E:$E,E360)))</f>
        <v/>
      </c>
      <c r="L360" s="3">
        <f>IF(K360="","",K360*SUMIFS(Daily!$D:$D,Daily!$B:$B,B360,Daily!$A:$A,E360)+N(J360))</f>
        <v/>
      </c>
      <c r="M360" s="3">
        <f>IF(K360="","",K360*SUMIFS(Daily!$G:$G,Daily!$B:$B,B360,Daily!$A:$A,E360))</f>
        <v/>
      </c>
      <c r="N360" s="3">
        <f>IF(K360="","",K360*SUMIFS(Daily!$H:$H,Daily!$B:$B,B360,Daily!$A:$A,E360))</f>
        <v/>
      </c>
      <c r="O360" s="3">
        <f>IF(OR(M360="",F360=0),"",M360/F360*10000)</f>
        <v/>
      </c>
      <c r="P360" s="8" t="n"/>
      <c r="Q360" s="8" t="n"/>
      <c r="R360" s="6">
        <f>IF(OR(F360="",F360=0),"",N(I360)/F360)</f>
        <v/>
      </c>
      <c r="S360" s="3">
        <f>IF(OR(F360="",F360=0),"",(N(H360)+N(Q360))/F360*1000)</f>
        <v/>
      </c>
    </row>
    <row r="361">
      <c r="A361" s="8" t="n"/>
      <c r="B361" s="8" t="n"/>
      <c r="C361" s="8" t="n"/>
      <c r="D361" s="8" t="n"/>
      <c r="E361" s="9" t="n"/>
      <c r="F361" s="8" t="n"/>
      <c r="G361" s="8" t="n"/>
      <c r="H361" s="8" t="n"/>
      <c r="I361" s="8" t="n"/>
      <c r="J361" s="8" t="n"/>
      <c r="K361" s="10">
        <f>IF(OR(F361="",SUMIFS($F:$F,$B:$B,B361,$E:$E,E361)=0),"",IF(SUMIFS($I:$I,$B:$B,B361,$E:$E,E361)&gt;0,N(I361)/SUMIFS($I:$I,$B:$B,B361,$E:$E,E361),F361/SUMIFS($F:$F,$B:$B,B361,$E:$E,E361)))</f>
        <v/>
      </c>
      <c r="L361" s="3">
        <f>IF(K361="","",K361*SUMIFS(Daily!$D:$D,Daily!$B:$B,B361,Daily!$A:$A,E361)+N(J361))</f>
        <v/>
      </c>
      <c r="M361" s="3">
        <f>IF(K361="","",K361*SUMIFS(Daily!$G:$G,Daily!$B:$B,B361,Daily!$A:$A,E361))</f>
        <v/>
      </c>
      <c r="N361" s="3">
        <f>IF(K361="","",K361*SUMIFS(Daily!$H:$H,Daily!$B:$B,B361,Daily!$A:$A,E361))</f>
        <v/>
      </c>
      <c r="O361" s="3">
        <f>IF(OR(M361="",F361=0),"",M361/F361*10000)</f>
        <v/>
      </c>
      <c r="P361" s="8" t="n"/>
      <c r="Q361" s="8" t="n"/>
      <c r="R361" s="6">
        <f>IF(OR(F361="",F361=0),"",N(I361)/F361)</f>
        <v/>
      </c>
      <c r="S361" s="3">
        <f>IF(OR(F361="",F361=0),"",(N(H361)+N(Q361))/F361*1000)</f>
        <v/>
      </c>
    </row>
    <row r="362">
      <c r="A362" s="8" t="n"/>
      <c r="B362" s="8" t="n"/>
      <c r="C362" s="8" t="n"/>
      <c r="D362" s="8" t="n"/>
      <c r="E362" s="9" t="n"/>
      <c r="F362" s="8" t="n"/>
      <c r="G362" s="8" t="n"/>
      <c r="H362" s="8" t="n"/>
      <c r="I362" s="8" t="n"/>
      <c r="J362" s="8" t="n"/>
      <c r="K362" s="10">
        <f>IF(OR(F362="",SUMIFS($F:$F,$B:$B,B362,$E:$E,E362)=0),"",IF(SUMIFS($I:$I,$B:$B,B362,$E:$E,E362)&gt;0,N(I362)/SUMIFS($I:$I,$B:$B,B362,$E:$E,E362),F362/SUMIFS($F:$F,$B:$B,B362,$E:$E,E362)))</f>
        <v/>
      </c>
      <c r="L362" s="3">
        <f>IF(K362="","",K362*SUMIFS(Daily!$D:$D,Daily!$B:$B,B362,Daily!$A:$A,E362)+N(J362))</f>
        <v/>
      </c>
      <c r="M362" s="3">
        <f>IF(K362="","",K362*SUMIFS(Daily!$G:$G,Daily!$B:$B,B362,Daily!$A:$A,E362))</f>
        <v/>
      </c>
      <c r="N362" s="3">
        <f>IF(K362="","",K362*SUMIFS(Daily!$H:$H,Daily!$B:$B,B362,Daily!$A:$A,E362))</f>
        <v/>
      </c>
      <c r="O362" s="3">
        <f>IF(OR(M362="",F362=0),"",M362/F362*10000)</f>
        <v/>
      </c>
      <c r="P362" s="8" t="n"/>
      <c r="Q362" s="8" t="n"/>
      <c r="R362" s="6">
        <f>IF(OR(F362="",F362=0),"",N(I362)/F362)</f>
        <v/>
      </c>
      <c r="S362" s="3">
        <f>IF(OR(F362="",F362=0),"",(N(H362)+N(Q362))/F362*1000)</f>
        <v/>
      </c>
    </row>
    <row r="363">
      <c r="A363" s="8" t="n"/>
      <c r="B363" s="8" t="n"/>
      <c r="C363" s="8" t="n"/>
      <c r="D363" s="8" t="n"/>
      <c r="E363" s="9" t="n"/>
      <c r="F363" s="8" t="n"/>
      <c r="G363" s="8" t="n"/>
      <c r="H363" s="8" t="n"/>
      <c r="I363" s="8" t="n"/>
      <c r="J363" s="8" t="n"/>
      <c r="K363" s="10">
        <f>IF(OR(F363="",SUMIFS($F:$F,$B:$B,B363,$E:$E,E363)=0),"",IF(SUMIFS($I:$I,$B:$B,B363,$E:$E,E363)&gt;0,N(I363)/SUMIFS($I:$I,$B:$B,B363,$E:$E,E363),F363/SUMIFS($F:$F,$B:$B,B363,$E:$E,E363)))</f>
        <v/>
      </c>
      <c r="L363" s="3">
        <f>IF(K363="","",K363*SUMIFS(Daily!$D:$D,Daily!$B:$B,B363,Daily!$A:$A,E363)+N(J363))</f>
        <v/>
      </c>
      <c r="M363" s="3">
        <f>IF(K363="","",K363*SUMIFS(Daily!$G:$G,Daily!$B:$B,B363,Daily!$A:$A,E363))</f>
        <v/>
      </c>
      <c r="N363" s="3">
        <f>IF(K363="","",K363*SUMIFS(Daily!$H:$H,Daily!$B:$B,B363,Daily!$A:$A,E363))</f>
        <v/>
      </c>
      <c r="O363" s="3">
        <f>IF(OR(M363="",F363=0),"",M363/F363*10000)</f>
        <v/>
      </c>
      <c r="P363" s="8" t="n"/>
      <c r="Q363" s="8" t="n"/>
      <c r="R363" s="6">
        <f>IF(OR(F363="",F363=0),"",N(I363)/F363)</f>
        <v/>
      </c>
      <c r="S363" s="3">
        <f>IF(OR(F363="",F363=0),"",(N(H363)+N(Q363))/F363*1000)</f>
        <v/>
      </c>
    </row>
    <row r="364">
      <c r="A364" s="8" t="n"/>
      <c r="B364" s="8" t="n"/>
      <c r="C364" s="8" t="n"/>
      <c r="D364" s="8" t="n"/>
      <c r="E364" s="9" t="n"/>
      <c r="F364" s="8" t="n"/>
      <c r="G364" s="8" t="n"/>
      <c r="H364" s="8" t="n"/>
      <c r="I364" s="8" t="n"/>
      <c r="J364" s="8" t="n"/>
      <c r="K364" s="10">
        <f>IF(OR(F364="",SUMIFS($F:$F,$B:$B,B364,$E:$E,E364)=0),"",IF(SUMIFS($I:$I,$B:$B,B364,$E:$E,E364)&gt;0,N(I364)/SUMIFS($I:$I,$B:$B,B364,$E:$E,E364),F364/SUMIFS($F:$F,$B:$B,B364,$E:$E,E364)))</f>
        <v/>
      </c>
      <c r="L364" s="3">
        <f>IF(K364="","",K364*SUMIFS(Daily!$D:$D,Daily!$B:$B,B364,Daily!$A:$A,E364)+N(J364))</f>
        <v/>
      </c>
      <c r="M364" s="3">
        <f>IF(K364="","",K364*SUMIFS(Daily!$G:$G,Daily!$B:$B,B364,Daily!$A:$A,E364))</f>
        <v/>
      </c>
      <c r="N364" s="3">
        <f>IF(K364="","",K364*SUMIFS(Daily!$H:$H,Daily!$B:$B,B364,Daily!$A:$A,E364))</f>
        <v/>
      </c>
      <c r="O364" s="3">
        <f>IF(OR(M364="",F364=0),"",M364/F364*10000)</f>
        <v/>
      </c>
      <c r="P364" s="8" t="n"/>
      <c r="Q364" s="8" t="n"/>
      <c r="R364" s="6">
        <f>IF(OR(F364="",F364=0),"",N(I364)/F364)</f>
        <v/>
      </c>
      <c r="S364" s="3">
        <f>IF(OR(F364="",F364=0),"",(N(H364)+N(Q364))/F364*1000)</f>
        <v/>
      </c>
    </row>
    <row r="365">
      <c r="A365" s="8" t="n"/>
      <c r="B365" s="8" t="n"/>
      <c r="C365" s="8" t="n"/>
      <c r="D365" s="8" t="n"/>
      <c r="E365" s="9" t="n"/>
      <c r="F365" s="8" t="n"/>
      <c r="G365" s="8" t="n"/>
      <c r="H365" s="8" t="n"/>
      <c r="I365" s="8" t="n"/>
      <c r="J365" s="8" t="n"/>
      <c r="K365" s="10">
        <f>IF(OR(F365="",SUMIFS($F:$F,$B:$B,B365,$E:$E,E365)=0),"",IF(SUMIFS($I:$I,$B:$B,B365,$E:$E,E365)&gt;0,N(I365)/SUMIFS($I:$I,$B:$B,B365,$E:$E,E365),F365/SUMIFS($F:$F,$B:$B,B365,$E:$E,E365)))</f>
        <v/>
      </c>
      <c r="L365" s="3">
        <f>IF(K365="","",K365*SUMIFS(Daily!$D:$D,Daily!$B:$B,B365,Daily!$A:$A,E365)+N(J365))</f>
        <v/>
      </c>
      <c r="M365" s="3">
        <f>IF(K365="","",K365*SUMIFS(Daily!$G:$G,Daily!$B:$B,B365,Daily!$A:$A,E365))</f>
        <v/>
      </c>
      <c r="N365" s="3">
        <f>IF(K365="","",K365*SUMIFS(Daily!$H:$H,Daily!$B:$B,B365,Daily!$A:$A,E365))</f>
        <v/>
      </c>
      <c r="O365" s="3">
        <f>IF(OR(M365="",F365=0),"",M365/F365*10000)</f>
        <v/>
      </c>
      <c r="P365" s="8" t="n"/>
      <c r="Q365" s="8" t="n"/>
      <c r="R365" s="6">
        <f>IF(OR(F365="",F365=0),"",N(I365)/F365)</f>
        <v/>
      </c>
      <c r="S365" s="3">
        <f>IF(OR(F365="",F365=0),"",(N(H365)+N(Q365))/F365*1000)</f>
        <v/>
      </c>
    </row>
    <row r="366">
      <c r="A366" s="8" t="n"/>
      <c r="B366" s="8" t="n"/>
      <c r="C366" s="8" t="n"/>
      <c r="D366" s="8" t="n"/>
      <c r="E366" s="9" t="n"/>
      <c r="F366" s="8" t="n"/>
      <c r="G366" s="8" t="n"/>
      <c r="H366" s="8" t="n"/>
      <c r="I366" s="8" t="n"/>
      <c r="J366" s="8" t="n"/>
      <c r="K366" s="10">
        <f>IF(OR(F366="",SUMIFS($F:$F,$B:$B,B366,$E:$E,E366)=0),"",IF(SUMIFS($I:$I,$B:$B,B366,$E:$E,E366)&gt;0,N(I366)/SUMIFS($I:$I,$B:$B,B366,$E:$E,E366),F366/SUMIFS($F:$F,$B:$B,B366,$E:$E,E366)))</f>
        <v/>
      </c>
      <c r="L366" s="3">
        <f>IF(K366="","",K366*SUMIFS(Daily!$D:$D,Daily!$B:$B,B366,Daily!$A:$A,E366)+N(J366))</f>
        <v/>
      </c>
      <c r="M366" s="3">
        <f>IF(K366="","",K366*SUMIFS(Daily!$G:$G,Daily!$B:$B,B366,Daily!$A:$A,E366))</f>
        <v/>
      </c>
      <c r="N366" s="3">
        <f>IF(K366="","",K366*SUMIFS(Daily!$H:$H,Daily!$B:$B,B366,Daily!$A:$A,E366))</f>
        <v/>
      </c>
      <c r="O366" s="3">
        <f>IF(OR(M366="",F366=0),"",M366/F366*10000)</f>
        <v/>
      </c>
      <c r="P366" s="8" t="n"/>
      <c r="Q366" s="8" t="n"/>
      <c r="R366" s="6">
        <f>IF(OR(F366="",F366=0),"",N(I366)/F366)</f>
        <v/>
      </c>
      <c r="S366" s="3">
        <f>IF(OR(F366="",F366=0),"",(N(H366)+N(Q366))/F366*1000)</f>
        <v/>
      </c>
    </row>
    <row r="367">
      <c r="A367" s="8" t="n"/>
      <c r="B367" s="8" t="n"/>
      <c r="C367" s="8" t="n"/>
      <c r="D367" s="8" t="n"/>
      <c r="E367" s="9" t="n"/>
      <c r="F367" s="8" t="n"/>
      <c r="G367" s="8" t="n"/>
      <c r="H367" s="8" t="n"/>
      <c r="I367" s="8" t="n"/>
      <c r="J367" s="8" t="n"/>
      <c r="K367" s="10">
        <f>IF(OR(F367="",SUMIFS($F:$F,$B:$B,B367,$E:$E,E367)=0),"",IF(SUMIFS($I:$I,$B:$B,B367,$E:$E,E367)&gt;0,N(I367)/SUMIFS($I:$I,$B:$B,B367,$E:$E,E367),F367/SUMIFS($F:$F,$B:$B,B367,$E:$E,E367)))</f>
        <v/>
      </c>
      <c r="L367" s="3">
        <f>IF(K367="","",K367*SUMIFS(Daily!$D:$D,Daily!$B:$B,B367,Daily!$A:$A,E367)+N(J367))</f>
        <v/>
      </c>
      <c r="M367" s="3">
        <f>IF(K367="","",K367*SUMIFS(Daily!$G:$G,Daily!$B:$B,B367,Daily!$A:$A,E367))</f>
        <v/>
      </c>
      <c r="N367" s="3">
        <f>IF(K367="","",K367*SUMIFS(Daily!$H:$H,Daily!$B:$B,B367,Daily!$A:$A,E367))</f>
        <v/>
      </c>
      <c r="O367" s="3">
        <f>IF(OR(M367="",F367=0),"",M367/F367*10000)</f>
        <v/>
      </c>
      <c r="P367" s="8" t="n"/>
      <c r="Q367" s="8" t="n"/>
      <c r="R367" s="6">
        <f>IF(OR(F367="",F367=0),"",N(I367)/F367)</f>
        <v/>
      </c>
      <c r="S367" s="3">
        <f>IF(OR(F367="",F367=0),"",(N(H367)+N(Q367))/F367*1000)</f>
        <v/>
      </c>
    </row>
    <row r="368">
      <c r="A368" s="8" t="n"/>
      <c r="B368" s="8" t="n"/>
      <c r="C368" s="8" t="n"/>
      <c r="D368" s="8" t="n"/>
      <c r="E368" s="9" t="n"/>
      <c r="F368" s="8" t="n"/>
      <c r="G368" s="8" t="n"/>
      <c r="H368" s="8" t="n"/>
      <c r="I368" s="8" t="n"/>
      <c r="J368" s="8" t="n"/>
      <c r="K368" s="10">
        <f>IF(OR(F368="",SUMIFS($F:$F,$B:$B,B368,$E:$E,E368)=0),"",IF(SUMIFS($I:$I,$B:$B,B368,$E:$E,E368)&gt;0,N(I368)/SUMIFS($I:$I,$B:$B,B368,$E:$E,E368),F368/SUMIFS($F:$F,$B:$B,B368,$E:$E,E368)))</f>
        <v/>
      </c>
      <c r="L368" s="3">
        <f>IF(K368="","",K368*SUMIFS(Daily!$D:$D,Daily!$B:$B,B368,Daily!$A:$A,E368)+N(J368))</f>
        <v/>
      </c>
      <c r="M368" s="3">
        <f>IF(K368="","",K368*SUMIFS(Daily!$G:$G,Daily!$B:$B,B368,Daily!$A:$A,E368))</f>
        <v/>
      </c>
      <c r="N368" s="3">
        <f>IF(K368="","",K368*SUMIFS(Daily!$H:$H,Daily!$B:$B,B368,Daily!$A:$A,E368))</f>
        <v/>
      </c>
      <c r="O368" s="3">
        <f>IF(OR(M368="",F368=0),"",M368/F368*10000)</f>
        <v/>
      </c>
      <c r="P368" s="8" t="n"/>
      <c r="Q368" s="8" t="n"/>
      <c r="R368" s="6">
        <f>IF(OR(F368="",F368=0),"",N(I368)/F368)</f>
        <v/>
      </c>
      <c r="S368" s="3">
        <f>IF(OR(F368="",F368=0),"",(N(H368)+N(Q368))/F368*1000)</f>
        <v/>
      </c>
    </row>
    <row r="369">
      <c r="A369" s="8" t="n"/>
      <c r="B369" s="8" t="n"/>
      <c r="C369" s="8" t="n"/>
      <c r="D369" s="8" t="n"/>
      <c r="E369" s="9" t="n"/>
      <c r="F369" s="8" t="n"/>
      <c r="G369" s="8" t="n"/>
      <c r="H369" s="8" t="n"/>
      <c r="I369" s="8" t="n"/>
      <c r="J369" s="8" t="n"/>
      <c r="K369" s="10">
        <f>IF(OR(F369="",SUMIFS($F:$F,$B:$B,B369,$E:$E,E369)=0),"",IF(SUMIFS($I:$I,$B:$B,B369,$E:$E,E369)&gt;0,N(I369)/SUMIFS($I:$I,$B:$B,B369,$E:$E,E369),F369/SUMIFS($F:$F,$B:$B,B369,$E:$E,E369)))</f>
        <v/>
      </c>
      <c r="L369" s="3">
        <f>IF(K369="","",K369*SUMIFS(Daily!$D:$D,Daily!$B:$B,B369,Daily!$A:$A,E369)+N(J369))</f>
        <v/>
      </c>
      <c r="M369" s="3">
        <f>IF(K369="","",K369*SUMIFS(Daily!$G:$G,Daily!$B:$B,B369,Daily!$A:$A,E369))</f>
        <v/>
      </c>
      <c r="N369" s="3">
        <f>IF(K369="","",K369*SUMIFS(Daily!$H:$H,Daily!$B:$B,B369,Daily!$A:$A,E369))</f>
        <v/>
      </c>
      <c r="O369" s="3">
        <f>IF(OR(M369="",F369=0),"",M369/F369*10000)</f>
        <v/>
      </c>
      <c r="P369" s="8" t="n"/>
      <c r="Q369" s="8" t="n"/>
      <c r="R369" s="6">
        <f>IF(OR(F369="",F369=0),"",N(I369)/F369)</f>
        <v/>
      </c>
      <c r="S369" s="3">
        <f>IF(OR(F369="",F369=0),"",(N(H369)+N(Q369))/F369*1000)</f>
        <v/>
      </c>
    </row>
    <row r="370">
      <c r="A370" s="8" t="n"/>
      <c r="B370" s="8" t="n"/>
      <c r="C370" s="8" t="n"/>
      <c r="D370" s="8" t="n"/>
      <c r="E370" s="9" t="n"/>
      <c r="F370" s="8" t="n"/>
      <c r="G370" s="8" t="n"/>
      <c r="H370" s="8" t="n"/>
      <c r="I370" s="8" t="n"/>
      <c r="J370" s="8" t="n"/>
      <c r="K370" s="10">
        <f>IF(OR(F370="",SUMIFS($F:$F,$B:$B,B370,$E:$E,E370)=0),"",IF(SUMIFS($I:$I,$B:$B,B370,$E:$E,E370)&gt;0,N(I370)/SUMIFS($I:$I,$B:$B,B370,$E:$E,E370),F370/SUMIFS($F:$F,$B:$B,B370,$E:$E,E370)))</f>
        <v/>
      </c>
      <c r="L370" s="3">
        <f>IF(K370="","",K370*SUMIFS(Daily!$D:$D,Daily!$B:$B,B370,Daily!$A:$A,E370)+N(J370))</f>
        <v/>
      </c>
      <c r="M370" s="3">
        <f>IF(K370="","",K370*SUMIFS(Daily!$G:$G,Daily!$B:$B,B370,Daily!$A:$A,E370))</f>
        <v/>
      </c>
      <c r="N370" s="3">
        <f>IF(K370="","",K370*SUMIFS(Daily!$H:$H,Daily!$B:$B,B370,Daily!$A:$A,E370))</f>
        <v/>
      </c>
      <c r="O370" s="3">
        <f>IF(OR(M370="",F370=0),"",M370/F370*10000)</f>
        <v/>
      </c>
      <c r="P370" s="8" t="n"/>
      <c r="Q370" s="8" t="n"/>
      <c r="R370" s="6">
        <f>IF(OR(F370="",F370=0),"",N(I370)/F370)</f>
        <v/>
      </c>
      <c r="S370" s="3">
        <f>IF(OR(F370="",F370=0),"",(N(H370)+N(Q370))/F370*1000)</f>
        <v/>
      </c>
    </row>
    <row r="371">
      <c r="A371" s="8" t="n"/>
      <c r="B371" s="8" t="n"/>
      <c r="C371" s="8" t="n"/>
      <c r="D371" s="8" t="n"/>
      <c r="E371" s="9" t="n"/>
      <c r="F371" s="8" t="n"/>
      <c r="G371" s="8" t="n"/>
      <c r="H371" s="8" t="n"/>
      <c r="I371" s="8" t="n"/>
      <c r="J371" s="8" t="n"/>
      <c r="K371" s="10">
        <f>IF(OR(F371="",SUMIFS($F:$F,$B:$B,B371,$E:$E,E371)=0),"",IF(SUMIFS($I:$I,$B:$B,B371,$E:$E,E371)&gt;0,N(I371)/SUMIFS($I:$I,$B:$B,B371,$E:$E,E371),F371/SUMIFS($F:$F,$B:$B,B371,$E:$E,E371)))</f>
        <v/>
      </c>
      <c r="L371" s="3">
        <f>IF(K371="","",K371*SUMIFS(Daily!$D:$D,Daily!$B:$B,B371,Daily!$A:$A,E371)+N(J371))</f>
        <v/>
      </c>
      <c r="M371" s="3">
        <f>IF(K371="","",K371*SUMIFS(Daily!$G:$G,Daily!$B:$B,B371,Daily!$A:$A,E371))</f>
        <v/>
      </c>
      <c r="N371" s="3">
        <f>IF(K371="","",K371*SUMIFS(Daily!$H:$H,Daily!$B:$B,B371,Daily!$A:$A,E371))</f>
        <v/>
      </c>
      <c r="O371" s="3">
        <f>IF(OR(M371="",F371=0),"",M371/F371*10000)</f>
        <v/>
      </c>
      <c r="P371" s="8" t="n"/>
      <c r="Q371" s="8" t="n"/>
      <c r="R371" s="6">
        <f>IF(OR(F371="",F371=0),"",N(I371)/F371)</f>
        <v/>
      </c>
      <c r="S371" s="3">
        <f>IF(OR(F371="",F371=0),"",(N(H371)+N(Q371))/F371*1000)</f>
        <v/>
      </c>
    </row>
    <row r="372">
      <c r="A372" s="8" t="n"/>
      <c r="B372" s="8" t="n"/>
      <c r="C372" s="8" t="n"/>
      <c r="D372" s="8" t="n"/>
      <c r="E372" s="9" t="n"/>
      <c r="F372" s="8" t="n"/>
      <c r="G372" s="8" t="n"/>
      <c r="H372" s="8" t="n"/>
      <c r="I372" s="8" t="n"/>
      <c r="J372" s="8" t="n"/>
      <c r="K372" s="10">
        <f>IF(OR(F372="",SUMIFS($F:$F,$B:$B,B372,$E:$E,E372)=0),"",IF(SUMIFS($I:$I,$B:$B,B372,$E:$E,E372)&gt;0,N(I372)/SUMIFS($I:$I,$B:$B,B372,$E:$E,E372),F372/SUMIFS($F:$F,$B:$B,B372,$E:$E,E372)))</f>
        <v/>
      </c>
      <c r="L372" s="3">
        <f>IF(K372="","",K372*SUMIFS(Daily!$D:$D,Daily!$B:$B,B372,Daily!$A:$A,E372)+N(J372))</f>
        <v/>
      </c>
      <c r="M372" s="3">
        <f>IF(K372="","",K372*SUMIFS(Daily!$G:$G,Daily!$B:$B,B372,Daily!$A:$A,E372))</f>
        <v/>
      </c>
      <c r="N372" s="3">
        <f>IF(K372="","",K372*SUMIFS(Daily!$H:$H,Daily!$B:$B,B372,Daily!$A:$A,E372))</f>
        <v/>
      </c>
      <c r="O372" s="3">
        <f>IF(OR(M372="",F372=0),"",M372/F372*10000)</f>
        <v/>
      </c>
      <c r="P372" s="8" t="n"/>
      <c r="Q372" s="8" t="n"/>
      <c r="R372" s="6">
        <f>IF(OR(F372="",F372=0),"",N(I372)/F372)</f>
        <v/>
      </c>
      <c r="S372" s="3">
        <f>IF(OR(F372="",F372=0),"",(N(H372)+N(Q372))/F372*1000)</f>
        <v/>
      </c>
    </row>
    <row r="373">
      <c r="A373" s="8" t="n"/>
      <c r="B373" s="8" t="n"/>
      <c r="C373" s="8" t="n"/>
      <c r="D373" s="8" t="n"/>
      <c r="E373" s="9" t="n"/>
      <c r="F373" s="8" t="n"/>
      <c r="G373" s="8" t="n"/>
      <c r="H373" s="8" t="n"/>
      <c r="I373" s="8" t="n"/>
      <c r="J373" s="8" t="n"/>
      <c r="K373" s="10">
        <f>IF(OR(F373="",SUMIFS($F:$F,$B:$B,B373,$E:$E,E373)=0),"",IF(SUMIFS($I:$I,$B:$B,B373,$E:$E,E373)&gt;0,N(I373)/SUMIFS($I:$I,$B:$B,B373,$E:$E,E373),F373/SUMIFS($F:$F,$B:$B,B373,$E:$E,E373)))</f>
        <v/>
      </c>
      <c r="L373" s="3">
        <f>IF(K373="","",K373*SUMIFS(Daily!$D:$D,Daily!$B:$B,B373,Daily!$A:$A,E373)+N(J373))</f>
        <v/>
      </c>
      <c r="M373" s="3">
        <f>IF(K373="","",K373*SUMIFS(Daily!$G:$G,Daily!$B:$B,B373,Daily!$A:$A,E373))</f>
        <v/>
      </c>
      <c r="N373" s="3">
        <f>IF(K373="","",K373*SUMIFS(Daily!$H:$H,Daily!$B:$B,B373,Daily!$A:$A,E373))</f>
        <v/>
      </c>
      <c r="O373" s="3">
        <f>IF(OR(M373="",F373=0),"",M373/F373*10000)</f>
        <v/>
      </c>
      <c r="P373" s="8" t="n"/>
      <c r="Q373" s="8" t="n"/>
      <c r="R373" s="6">
        <f>IF(OR(F373="",F373=0),"",N(I373)/F373)</f>
        <v/>
      </c>
      <c r="S373" s="3">
        <f>IF(OR(F373="",F373=0),"",(N(H373)+N(Q373))/F373*1000)</f>
        <v/>
      </c>
    </row>
    <row r="374">
      <c r="A374" s="8" t="n"/>
      <c r="B374" s="8" t="n"/>
      <c r="C374" s="8" t="n"/>
      <c r="D374" s="8" t="n"/>
      <c r="E374" s="9" t="n"/>
      <c r="F374" s="8" t="n"/>
      <c r="G374" s="8" t="n"/>
      <c r="H374" s="8" t="n"/>
      <c r="I374" s="8" t="n"/>
      <c r="J374" s="8" t="n"/>
      <c r="K374" s="10">
        <f>IF(OR(F374="",SUMIFS($F:$F,$B:$B,B374,$E:$E,E374)=0),"",IF(SUMIFS($I:$I,$B:$B,B374,$E:$E,E374)&gt;0,N(I374)/SUMIFS($I:$I,$B:$B,B374,$E:$E,E374),F374/SUMIFS($F:$F,$B:$B,B374,$E:$E,E374)))</f>
        <v/>
      </c>
      <c r="L374" s="3">
        <f>IF(K374="","",K374*SUMIFS(Daily!$D:$D,Daily!$B:$B,B374,Daily!$A:$A,E374)+N(J374))</f>
        <v/>
      </c>
      <c r="M374" s="3">
        <f>IF(K374="","",K374*SUMIFS(Daily!$G:$G,Daily!$B:$B,B374,Daily!$A:$A,E374))</f>
        <v/>
      </c>
      <c r="N374" s="3">
        <f>IF(K374="","",K374*SUMIFS(Daily!$H:$H,Daily!$B:$B,B374,Daily!$A:$A,E374))</f>
        <v/>
      </c>
      <c r="O374" s="3">
        <f>IF(OR(M374="",F374=0),"",M374/F374*10000)</f>
        <v/>
      </c>
      <c r="P374" s="8" t="n"/>
      <c r="Q374" s="8" t="n"/>
      <c r="R374" s="6">
        <f>IF(OR(F374="",F374=0),"",N(I374)/F374)</f>
        <v/>
      </c>
      <c r="S374" s="3">
        <f>IF(OR(F374="",F374=0),"",(N(H374)+N(Q374))/F374*1000)</f>
        <v/>
      </c>
    </row>
    <row r="375">
      <c r="A375" s="8" t="n"/>
      <c r="B375" s="8" t="n"/>
      <c r="C375" s="8" t="n"/>
      <c r="D375" s="8" t="n"/>
      <c r="E375" s="9" t="n"/>
      <c r="F375" s="8" t="n"/>
      <c r="G375" s="8" t="n"/>
      <c r="H375" s="8" t="n"/>
      <c r="I375" s="8" t="n"/>
      <c r="J375" s="8" t="n"/>
      <c r="K375" s="10">
        <f>IF(OR(F375="",SUMIFS($F:$F,$B:$B,B375,$E:$E,E375)=0),"",IF(SUMIFS($I:$I,$B:$B,B375,$E:$E,E375)&gt;0,N(I375)/SUMIFS($I:$I,$B:$B,B375,$E:$E,E375),F375/SUMIFS($F:$F,$B:$B,B375,$E:$E,E375)))</f>
        <v/>
      </c>
      <c r="L375" s="3">
        <f>IF(K375="","",K375*SUMIFS(Daily!$D:$D,Daily!$B:$B,B375,Daily!$A:$A,E375)+N(J375))</f>
        <v/>
      </c>
      <c r="M375" s="3">
        <f>IF(K375="","",K375*SUMIFS(Daily!$G:$G,Daily!$B:$B,B375,Daily!$A:$A,E375))</f>
        <v/>
      </c>
      <c r="N375" s="3">
        <f>IF(K375="","",K375*SUMIFS(Daily!$H:$H,Daily!$B:$B,B375,Daily!$A:$A,E375))</f>
        <v/>
      </c>
      <c r="O375" s="3">
        <f>IF(OR(M375="",F375=0),"",M375/F375*10000)</f>
        <v/>
      </c>
      <c r="P375" s="8" t="n"/>
      <c r="Q375" s="8" t="n"/>
      <c r="R375" s="6">
        <f>IF(OR(F375="",F375=0),"",N(I375)/F375)</f>
        <v/>
      </c>
      <c r="S375" s="3">
        <f>IF(OR(F375="",F375=0),"",(N(H375)+N(Q375))/F375*1000)</f>
        <v/>
      </c>
    </row>
    <row r="376">
      <c r="A376" s="8" t="n"/>
      <c r="B376" s="8" t="n"/>
      <c r="C376" s="8" t="n"/>
      <c r="D376" s="8" t="n"/>
      <c r="E376" s="9" t="n"/>
      <c r="F376" s="8" t="n"/>
      <c r="G376" s="8" t="n"/>
      <c r="H376" s="8" t="n"/>
      <c r="I376" s="8" t="n"/>
      <c r="J376" s="8" t="n"/>
      <c r="K376" s="10">
        <f>IF(OR(F376="",SUMIFS($F:$F,$B:$B,B376,$E:$E,E376)=0),"",IF(SUMIFS($I:$I,$B:$B,B376,$E:$E,E376)&gt;0,N(I376)/SUMIFS($I:$I,$B:$B,B376,$E:$E,E376),F376/SUMIFS($F:$F,$B:$B,B376,$E:$E,E376)))</f>
        <v/>
      </c>
      <c r="L376" s="3">
        <f>IF(K376="","",K376*SUMIFS(Daily!$D:$D,Daily!$B:$B,B376,Daily!$A:$A,E376)+N(J376))</f>
        <v/>
      </c>
      <c r="M376" s="3">
        <f>IF(K376="","",K376*SUMIFS(Daily!$G:$G,Daily!$B:$B,B376,Daily!$A:$A,E376))</f>
        <v/>
      </c>
      <c r="N376" s="3">
        <f>IF(K376="","",K376*SUMIFS(Daily!$H:$H,Daily!$B:$B,B376,Daily!$A:$A,E376))</f>
        <v/>
      </c>
      <c r="O376" s="3">
        <f>IF(OR(M376="",F376=0),"",M376/F376*10000)</f>
        <v/>
      </c>
      <c r="P376" s="8" t="n"/>
      <c r="Q376" s="8" t="n"/>
      <c r="R376" s="6">
        <f>IF(OR(F376="",F376=0),"",N(I376)/F376)</f>
        <v/>
      </c>
      <c r="S376" s="3">
        <f>IF(OR(F376="",F376=0),"",(N(H376)+N(Q376))/F376*1000)</f>
        <v/>
      </c>
    </row>
    <row r="377">
      <c r="A377" s="8" t="n"/>
      <c r="B377" s="8" t="n"/>
      <c r="C377" s="8" t="n"/>
      <c r="D377" s="8" t="n"/>
      <c r="E377" s="9" t="n"/>
      <c r="F377" s="8" t="n"/>
      <c r="G377" s="8" t="n"/>
      <c r="H377" s="8" t="n"/>
      <c r="I377" s="8" t="n"/>
      <c r="J377" s="8" t="n"/>
      <c r="K377" s="10">
        <f>IF(OR(F377="",SUMIFS($F:$F,$B:$B,B377,$E:$E,E377)=0),"",IF(SUMIFS($I:$I,$B:$B,B377,$E:$E,E377)&gt;0,N(I377)/SUMIFS($I:$I,$B:$B,B377,$E:$E,E377),F377/SUMIFS($F:$F,$B:$B,B377,$E:$E,E377)))</f>
        <v/>
      </c>
      <c r="L377" s="3">
        <f>IF(K377="","",K377*SUMIFS(Daily!$D:$D,Daily!$B:$B,B377,Daily!$A:$A,E377)+N(J377))</f>
        <v/>
      </c>
      <c r="M377" s="3">
        <f>IF(K377="","",K377*SUMIFS(Daily!$G:$G,Daily!$B:$B,B377,Daily!$A:$A,E377))</f>
        <v/>
      </c>
      <c r="N377" s="3">
        <f>IF(K377="","",K377*SUMIFS(Daily!$H:$H,Daily!$B:$B,B377,Daily!$A:$A,E377))</f>
        <v/>
      </c>
      <c r="O377" s="3">
        <f>IF(OR(M377="",F377=0),"",M377/F377*10000)</f>
        <v/>
      </c>
      <c r="P377" s="8" t="n"/>
      <c r="Q377" s="8" t="n"/>
      <c r="R377" s="6">
        <f>IF(OR(F377="",F377=0),"",N(I377)/F377)</f>
        <v/>
      </c>
      <c r="S377" s="3">
        <f>IF(OR(F377="",F377=0),"",(N(H377)+N(Q377))/F377*1000)</f>
        <v/>
      </c>
    </row>
    <row r="378">
      <c r="A378" s="8" t="n"/>
      <c r="B378" s="8" t="n"/>
      <c r="C378" s="8" t="n"/>
      <c r="D378" s="8" t="n"/>
      <c r="E378" s="9" t="n"/>
      <c r="F378" s="8" t="n"/>
      <c r="G378" s="8" t="n"/>
      <c r="H378" s="8" t="n"/>
      <c r="I378" s="8" t="n"/>
      <c r="J378" s="8" t="n"/>
      <c r="K378" s="10">
        <f>IF(OR(F378="",SUMIFS($F:$F,$B:$B,B378,$E:$E,E378)=0),"",IF(SUMIFS($I:$I,$B:$B,B378,$E:$E,E378)&gt;0,N(I378)/SUMIFS($I:$I,$B:$B,B378,$E:$E,E378),F378/SUMIFS($F:$F,$B:$B,B378,$E:$E,E378)))</f>
        <v/>
      </c>
      <c r="L378" s="3">
        <f>IF(K378="","",K378*SUMIFS(Daily!$D:$D,Daily!$B:$B,B378,Daily!$A:$A,E378)+N(J378))</f>
        <v/>
      </c>
      <c r="M378" s="3">
        <f>IF(K378="","",K378*SUMIFS(Daily!$G:$G,Daily!$B:$B,B378,Daily!$A:$A,E378))</f>
        <v/>
      </c>
      <c r="N378" s="3">
        <f>IF(K378="","",K378*SUMIFS(Daily!$H:$H,Daily!$B:$B,B378,Daily!$A:$A,E378))</f>
        <v/>
      </c>
      <c r="O378" s="3">
        <f>IF(OR(M378="",F378=0),"",M378/F378*10000)</f>
        <v/>
      </c>
      <c r="P378" s="8" t="n"/>
      <c r="Q378" s="8" t="n"/>
      <c r="R378" s="6">
        <f>IF(OR(F378="",F378=0),"",N(I378)/F378)</f>
        <v/>
      </c>
      <c r="S378" s="3">
        <f>IF(OR(F378="",F378=0),"",(N(H378)+N(Q378))/F378*1000)</f>
        <v/>
      </c>
    </row>
    <row r="379">
      <c r="A379" s="8" t="n"/>
      <c r="B379" s="8" t="n"/>
      <c r="C379" s="8" t="n"/>
      <c r="D379" s="8" t="n"/>
      <c r="E379" s="9" t="n"/>
      <c r="F379" s="8" t="n"/>
      <c r="G379" s="8" t="n"/>
      <c r="H379" s="8" t="n"/>
      <c r="I379" s="8" t="n"/>
      <c r="J379" s="8" t="n"/>
      <c r="K379" s="10">
        <f>IF(OR(F379="",SUMIFS($F:$F,$B:$B,B379,$E:$E,E379)=0),"",IF(SUMIFS($I:$I,$B:$B,B379,$E:$E,E379)&gt;0,N(I379)/SUMIFS($I:$I,$B:$B,B379,$E:$E,E379),F379/SUMIFS($F:$F,$B:$B,B379,$E:$E,E379)))</f>
        <v/>
      </c>
      <c r="L379" s="3">
        <f>IF(K379="","",K379*SUMIFS(Daily!$D:$D,Daily!$B:$B,B379,Daily!$A:$A,E379)+N(J379))</f>
        <v/>
      </c>
      <c r="M379" s="3">
        <f>IF(K379="","",K379*SUMIFS(Daily!$G:$G,Daily!$B:$B,B379,Daily!$A:$A,E379))</f>
        <v/>
      </c>
      <c r="N379" s="3">
        <f>IF(K379="","",K379*SUMIFS(Daily!$H:$H,Daily!$B:$B,B379,Daily!$A:$A,E379))</f>
        <v/>
      </c>
      <c r="O379" s="3">
        <f>IF(OR(M379="",F379=0),"",M379/F379*10000)</f>
        <v/>
      </c>
      <c r="P379" s="8" t="n"/>
      <c r="Q379" s="8" t="n"/>
      <c r="R379" s="6">
        <f>IF(OR(F379="",F379=0),"",N(I379)/F379)</f>
        <v/>
      </c>
      <c r="S379" s="3">
        <f>IF(OR(F379="",F379=0),"",(N(H379)+N(Q379))/F379*1000)</f>
        <v/>
      </c>
    </row>
    <row r="380">
      <c r="A380" s="8" t="n"/>
      <c r="B380" s="8" t="n"/>
      <c r="C380" s="8" t="n"/>
      <c r="D380" s="8" t="n"/>
      <c r="E380" s="9" t="n"/>
      <c r="F380" s="8" t="n"/>
      <c r="G380" s="8" t="n"/>
      <c r="H380" s="8" t="n"/>
      <c r="I380" s="8" t="n"/>
      <c r="J380" s="8" t="n"/>
      <c r="K380" s="10">
        <f>IF(OR(F380="",SUMIFS($F:$F,$B:$B,B380,$E:$E,E380)=0),"",IF(SUMIFS($I:$I,$B:$B,B380,$E:$E,E380)&gt;0,N(I380)/SUMIFS($I:$I,$B:$B,B380,$E:$E,E380),F380/SUMIFS($F:$F,$B:$B,B380,$E:$E,E380)))</f>
        <v/>
      </c>
      <c r="L380" s="3">
        <f>IF(K380="","",K380*SUMIFS(Daily!$D:$D,Daily!$B:$B,B380,Daily!$A:$A,E380)+N(J380))</f>
        <v/>
      </c>
      <c r="M380" s="3">
        <f>IF(K380="","",K380*SUMIFS(Daily!$G:$G,Daily!$B:$B,B380,Daily!$A:$A,E380))</f>
        <v/>
      </c>
      <c r="N380" s="3">
        <f>IF(K380="","",K380*SUMIFS(Daily!$H:$H,Daily!$B:$B,B380,Daily!$A:$A,E380))</f>
        <v/>
      </c>
      <c r="O380" s="3">
        <f>IF(OR(M380="",F380=0),"",M380/F380*10000)</f>
        <v/>
      </c>
      <c r="P380" s="8" t="n"/>
      <c r="Q380" s="8" t="n"/>
      <c r="R380" s="6">
        <f>IF(OR(F380="",F380=0),"",N(I380)/F380)</f>
        <v/>
      </c>
      <c r="S380" s="3">
        <f>IF(OR(F380="",F380=0),"",(N(H380)+N(Q380))/F380*1000)</f>
        <v/>
      </c>
    </row>
    <row r="381">
      <c r="A381" s="8" t="n"/>
      <c r="B381" s="8" t="n"/>
      <c r="C381" s="8" t="n"/>
      <c r="D381" s="8" t="n"/>
      <c r="E381" s="9" t="n"/>
      <c r="F381" s="8" t="n"/>
      <c r="G381" s="8" t="n"/>
      <c r="H381" s="8" t="n"/>
      <c r="I381" s="8" t="n"/>
      <c r="J381" s="8" t="n"/>
      <c r="K381" s="10">
        <f>IF(OR(F381="",SUMIFS($F:$F,$B:$B,B381,$E:$E,E381)=0),"",IF(SUMIFS($I:$I,$B:$B,B381,$E:$E,E381)&gt;0,N(I381)/SUMIFS($I:$I,$B:$B,B381,$E:$E,E381),F381/SUMIFS($F:$F,$B:$B,B381,$E:$E,E381)))</f>
        <v/>
      </c>
      <c r="L381" s="3">
        <f>IF(K381="","",K381*SUMIFS(Daily!$D:$D,Daily!$B:$B,B381,Daily!$A:$A,E381)+N(J381))</f>
        <v/>
      </c>
      <c r="M381" s="3">
        <f>IF(K381="","",K381*SUMIFS(Daily!$G:$G,Daily!$B:$B,B381,Daily!$A:$A,E381))</f>
        <v/>
      </c>
      <c r="N381" s="3">
        <f>IF(K381="","",K381*SUMIFS(Daily!$H:$H,Daily!$B:$B,B381,Daily!$A:$A,E381))</f>
        <v/>
      </c>
      <c r="O381" s="3">
        <f>IF(OR(M381="",F381=0),"",M381/F381*10000)</f>
        <v/>
      </c>
      <c r="P381" s="8" t="n"/>
      <c r="Q381" s="8" t="n"/>
      <c r="R381" s="6">
        <f>IF(OR(F381="",F381=0),"",N(I381)/F381)</f>
        <v/>
      </c>
      <c r="S381" s="3">
        <f>IF(OR(F381="",F381=0),"",(N(H381)+N(Q381))/F381*1000)</f>
        <v/>
      </c>
    </row>
    <row r="382">
      <c r="A382" s="8" t="n"/>
      <c r="B382" s="8" t="n"/>
      <c r="C382" s="8" t="n"/>
      <c r="D382" s="8" t="n"/>
      <c r="E382" s="9" t="n"/>
      <c r="F382" s="8" t="n"/>
      <c r="G382" s="8" t="n"/>
      <c r="H382" s="8" t="n"/>
      <c r="I382" s="8" t="n"/>
      <c r="J382" s="8" t="n"/>
      <c r="K382" s="10">
        <f>IF(OR(F382="",SUMIFS($F:$F,$B:$B,B382,$E:$E,E382)=0),"",IF(SUMIFS($I:$I,$B:$B,B382,$E:$E,E382)&gt;0,N(I382)/SUMIFS($I:$I,$B:$B,B382,$E:$E,E382),F382/SUMIFS($F:$F,$B:$B,B382,$E:$E,E382)))</f>
        <v/>
      </c>
      <c r="L382" s="3">
        <f>IF(K382="","",K382*SUMIFS(Daily!$D:$D,Daily!$B:$B,B382,Daily!$A:$A,E382)+N(J382))</f>
        <v/>
      </c>
      <c r="M382" s="3">
        <f>IF(K382="","",K382*SUMIFS(Daily!$G:$G,Daily!$B:$B,B382,Daily!$A:$A,E382))</f>
        <v/>
      </c>
      <c r="N382" s="3">
        <f>IF(K382="","",K382*SUMIFS(Daily!$H:$H,Daily!$B:$B,B382,Daily!$A:$A,E382))</f>
        <v/>
      </c>
      <c r="O382" s="3">
        <f>IF(OR(M382="",F382=0),"",M382/F382*10000)</f>
        <v/>
      </c>
      <c r="P382" s="8" t="n"/>
      <c r="Q382" s="8" t="n"/>
      <c r="R382" s="6">
        <f>IF(OR(F382="",F382=0),"",N(I382)/F382)</f>
        <v/>
      </c>
      <c r="S382" s="3">
        <f>IF(OR(F382="",F382=0),"",(N(H382)+N(Q382))/F382*1000)</f>
        <v/>
      </c>
    </row>
    <row r="383">
      <c r="A383" s="8" t="n"/>
      <c r="B383" s="8" t="n"/>
      <c r="C383" s="8" t="n"/>
      <c r="D383" s="8" t="n"/>
      <c r="E383" s="9" t="n"/>
      <c r="F383" s="8" t="n"/>
      <c r="G383" s="8" t="n"/>
      <c r="H383" s="8" t="n"/>
      <c r="I383" s="8" t="n"/>
      <c r="J383" s="8" t="n"/>
      <c r="K383" s="10">
        <f>IF(OR(F383="",SUMIFS($F:$F,$B:$B,B383,$E:$E,E383)=0),"",IF(SUMIFS($I:$I,$B:$B,B383,$E:$E,E383)&gt;0,N(I383)/SUMIFS($I:$I,$B:$B,B383,$E:$E,E383),F383/SUMIFS($F:$F,$B:$B,B383,$E:$E,E383)))</f>
        <v/>
      </c>
      <c r="L383" s="3">
        <f>IF(K383="","",K383*SUMIFS(Daily!$D:$D,Daily!$B:$B,B383,Daily!$A:$A,E383)+N(J383))</f>
        <v/>
      </c>
      <c r="M383" s="3">
        <f>IF(K383="","",K383*SUMIFS(Daily!$G:$G,Daily!$B:$B,B383,Daily!$A:$A,E383))</f>
        <v/>
      </c>
      <c r="N383" s="3">
        <f>IF(K383="","",K383*SUMIFS(Daily!$H:$H,Daily!$B:$B,B383,Daily!$A:$A,E383))</f>
        <v/>
      </c>
      <c r="O383" s="3">
        <f>IF(OR(M383="",F383=0),"",M383/F383*10000)</f>
        <v/>
      </c>
      <c r="P383" s="8" t="n"/>
      <c r="Q383" s="8" t="n"/>
      <c r="R383" s="6">
        <f>IF(OR(F383="",F383=0),"",N(I383)/F383)</f>
        <v/>
      </c>
      <c r="S383" s="3">
        <f>IF(OR(F383="",F383=0),"",(N(H383)+N(Q383))/F383*1000)</f>
        <v/>
      </c>
    </row>
    <row r="384">
      <c r="A384" s="8" t="n"/>
      <c r="B384" s="8" t="n"/>
      <c r="C384" s="8" t="n"/>
      <c r="D384" s="8" t="n"/>
      <c r="E384" s="9" t="n"/>
      <c r="F384" s="8" t="n"/>
      <c r="G384" s="8" t="n"/>
      <c r="H384" s="8" t="n"/>
      <c r="I384" s="8" t="n"/>
      <c r="J384" s="8" t="n"/>
      <c r="K384" s="10">
        <f>IF(OR(F384="",SUMIFS($F:$F,$B:$B,B384,$E:$E,E384)=0),"",IF(SUMIFS($I:$I,$B:$B,B384,$E:$E,E384)&gt;0,N(I384)/SUMIFS($I:$I,$B:$B,B384,$E:$E,E384),F384/SUMIFS($F:$F,$B:$B,B384,$E:$E,E384)))</f>
        <v/>
      </c>
      <c r="L384" s="3">
        <f>IF(K384="","",K384*SUMIFS(Daily!$D:$D,Daily!$B:$B,B384,Daily!$A:$A,E384)+N(J384))</f>
        <v/>
      </c>
      <c r="M384" s="3">
        <f>IF(K384="","",K384*SUMIFS(Daily!$G:$G,Daily!$B:$B,B384,Daily!$A:$A,E384))</f>
        <v/>
      </c>
      <c r="N384" s="3">
        <f>IF(K384="","",K384*SUMIFS(Daily!$H:$H,Daily!$B:$B,B384,Daily!$A:$A,E384))</f>
        <v/>
      </c>
      <c r="O384" s="3">
        <f>IF(OR(M384="",F384=0),"",M384/F384*10000)</f>
        <v/>
      </c>
      <c r="P384" s="8" t="n"/>
      <c r="Q384" s="8" t="n"/>
      <c r="R384" s="6">
        <f>IF(OR(F384="",F384=0),"",N(I384)/F384)</f>
        <v/>
      </c>
      <c r="S384" s="3">
        <f>IF(OR(F384="",F384=0),"",(N(H384)+N(Q384))/F384*1000)</f>
        <v/>
      </c>
    </row>
    <row r="385">
      <c r="A385" s="8" t="n"/>
      <c r="B385" s="8" t="n"/>
      <c r="C385" s="8" t="n"/>
      <c r="D385" s="8" t="n"/>
      <c r="E385" s="9" t="n"/>
      <c r="F385" s="8" t="n"/>
      <c r="G385" s="8" t="n"/>
      <c r="H385" s="8" t="n"/>
      <c r="I385" s="8" t="n"/>
      <c r="J385" s="8" t="n"/>
      <c r="K385" s="10">
        <f>IF(OR(F385="",SUMIFS($F:$F,$B:$B,B385,$E:$E,E385)=0),"",IF(SUMIFS($I:$I,$B:$B,B385,$E:$E,E385)&gt;0,N(I385)/SUMIFS($I:$I,$B:$B,B385,$E:$E,E385),F385/SUMIFS($F:$F,$B:$B,B385,$E:$E,E385)))</f>
        <v/>
      </c>
      <c r="L385" s="3">
        <f>IF(K385="","",K385*SUMIFS(Daily!$D:$D,Daily!$B:$B,B385,Daily!$A:$A,E385)+N(J385))</f>
        <v/>
      </c>
      <c r="M385" s="3">
        <f>IF(K385="","",K385*SUMIFS(Daily!$G:$G,Daily!$B:$B,B385,Daily!$A:$A,E385))</f>
        <v/>
      </c>
      <c r="N385" s="3">
        <f>IF(K385="","",K385*SUMIFS(Daily!$H:$H,Daily!$B:$B,B385,Daily!$A:$A,E385))</f>
        <v/>
      </c>
      <c r="O385" s="3">
        <f>IF(OR(M385="",F385=0),"",M385/F385*10000)</f>
        <v/>
      </c>
      <c r="P385" s="8" t="n"/>
      <c r="Q385" s="8" t="n"/>
      <c r="R385" s="6">
        <f>IF(OR(F385="",F385=0),"",N(I385)/F385)</f>
        <v/>
      </c>
      <c r="S385" s="3">
        <f>IF(OR(F385="",F385=0),"",(N(H385)+N(Q385))/F385*1000)</f>
        <v/>
      </c>
    </row>
    <row r="386">
      <c r="A386" s="8" t="n"/>
      <c r="B386" s="8" t="n"/>
      <c r="C386" s="8" t="n"/>
      <c r="D386" s="8" t="n"/>
      <c r="E386" s="9" t="n"/>
      <c r="F386" s="8" t="n"/>
      <c r="G386" s="8" t="n"/>
      <c r="H386" s="8" t="n"/>
      <c r="I386" s="8" t="n"/>
      <c r="J386" s="8" t="n"/>
      <c r="K386" s="10">
        <f>IF(OR(F386="",SUMIFS($F:$F,$B:$B,B386,$E:$E,E386)=0),"",IF(SUMIFS($I:$I,$B:$B,B386,$E:$E,E386)&gt;0,N(I386)/SUMIFS($I:$I,$B:$B,B386,$E:$E,E386),F386/SUMIFS($F:$F,$B:$B,B386,$E:$E,E386)))</f>
        <v/>
      </c>
      <c r="L386" s="3">
        <f>IF(K386="","",K386*SUMIFS(Daily!$D:$D,Daily!$B:$B,B386,Daily!$A:$A,E386)+N(J386))</f>
        <v/>
      </c>
      <c r="M386" s="3">
        <f>IF(K386="","",K386*SUMIFS(Daily!$G:$G,Daily!$B:$B,B386,Daily!$A:$A,E386))</f>
        <v/>
      </c>
      <c r="N386" s="3">
        <f>IF(K386="","",K386*SUMIFS(Daily!$H:$H,Daily!$B:$B,B386,Daily!$A:$A,E386))</f>
        <v/>
      </c>
      <c r="O386" s="3">
        <f>IF(OR(M386="",F386=0),"",M386/F386*10000)</f>
        <v/>
      </c>
      <c r="P386" s="8" t="n"/>
      <c r="Q386" s="8" t="n"/>
      <c r="R386" s="6">
        <f>IF(OR(F386="",F386=0),"",N(I386)/F386)</f>
        <v/>
      </c>
      <c r="S386" s="3">
        <f>IF(OR(F386="",F386=0),"",(N(H386)+N(Q386))/F386*1000)</f>
        <v/>
      </c>
    </row>
    <row r="387">
      <c r="A387" s="8" t="n"/>
      <c r="B387" s="8" t="n"/>
      <c r="C387" s="8" t="n"/>
      <c r="D387" s="8" t="n"/>
      <c r="E387" s="9" t="n"/>
      <c r="F387" s="8" t="n"/>
      <c r="G387" s="8" t="n"/>
      <c r="H387" s="8" t="n"/>
      <c r="I387" s="8" t="n"/>
      <c r="J387" s="8" t="n"/>
      <c r="K387" s="10">
        <f>IF(OR(F387="",SUMIFS($F:$F,$B:$B,B387,$E:$E,E387)=0),"",IF(SUMIFS($I:$I,$B:$B,B387,$E:$E,E387)&gt;0,N(I387)/SUMIFS($I:$I,$B:$B,B387,$E:$E,E387),F387/SUMIFS($F:$F,$B:$B,B387,$E:$E,E387)))</f>
        <v/>
      </c>
      <c r="L387" s="3">
        <f>IF(K387="","",K387*SUMIFS(Daily!$D:$D,Daily!$B:$B,B387,Daily!$A:$A,E387)+N(J387))</f>
        <v/>
      </c>
      <c r="M387" s="3">
        <f>IF(K387="","",K387*SUMIFS(Daily!$G:$G,Daily!$B:$B,B387,Daily!$A:$A,E387))</f>
        <v/>
      </c>
      <c r="N387" s="3">
        <f>IF(K387="","",K387*SUMIFS(Daily!$H:$H,Daily!$B:$B,B387,Daily!$A:$A,E387))</f>
        <v/>
      </c>
      <c r="O387" s="3">
        <f>IF(OR(M387="",F387=0),"",M387/F387*10000)</f>
        <v/>
      </c>
      <c r="P387" s="8" t="n"/>
      <c r="Q387" s="8" t="n"/>
      <c r="R387" s="6">
        <f>IF(OR(F387="",F387=0),"",N(I387)/F387)</f>
        <v/>
      </c>
      <c r="S387" s="3">
        <f>IF(OR(F387="",F387=0),"",(N(H387)+N(Q387))/F387*1000)</f>
        <v/>
      </c>
    </row>
    <row r="388">
      <c r="A388" s="8" t="n"/>
      <c r="B388" s="8" t="n"/>
      <c r="C388" s="8" t="n"/>
      <c r="D388" s="8" t="n"/>
      <c r="E388" s="9" t="n"/>
      <c r="F388" s="8" t="n"/>
      <c r="G388" s="8" t="n"/>
      <c r="H388" s="8" t="n"/>
      <c r="I388" s="8" t="n"/>
      <c r="J388" s="8" t="n"/>
      <c r="K388" s="10">
        <f>IF(OR(F388="",SUMIFS($F:$F,$B:$B,B388,$E:$E,E388)=0),"",IF(SUMIFS($I:$I,$B:$B,B388,$E:$E,E388)&gt;0,N(I388)/SUMIFS($I:$I,$B:$B,B388,$E:$E,E388),F388/SUMIFS($F:$F,$B:$B,B388,$E:$E,E388)))</f>
        <v/>
      </c>
      <c r="L388" s="3">
        <f>IF(K388="","",K388*SUMIFS(Daily!$D:$D,Daily!$B:$B,B388,Daily!$A:$A,E388)+N(J388))</f>
        <v/>
      </c>
      <c r="M388" s="3">
        <f>IF(K388="","",K388*SUMIFS(Daily!$G:$G,Daily!$B:$B,B388,Daily!$A:$A,E388))</f>
        <v/>
      </c>
      <c r="N388" s="3">
        <f>IF(K388="","",K388*SUMIFS(Daily!$H:$H,Daily!$B:$B,B388,Daily!$A:$A,E388))</f>
        <v/>
      </c>
      <c r="O388" s="3">
        <f>IF(OR(M388="",F388=0),"",M388/F388*10000)</f>
        <v/>
      </c>
      <c r="P388" s="8" t="n"/>
      <c r="Q388" s="8" t="n"/>
      <c r="R388" s="6">
        <f>IF(OR(F388="",F388=0),"",N(I388)/F388)</f>
        <v/>
      </c>
      <c r="S388" s="3">
        <f>IF(OR(F388="",F388=0),"",(N(H388)+N(Q388))/F388*1000)</f>
        <v/>
      </c>
    </row>
    <row r="389">
      <c r="A389" s="8" t="n"/>
      <c r="B389" s="8" t="n"/>
      <c r="C389" s="8" t="n"/>
      <c r="D389" s="8" t="n"/>
      <c r="E389" s="9" t="n"/>
      <c r="F389" s="8" t="n"/>
      <c r="G389" s="8" t="n"/>
      <c r="H389" s="8" t="n"/>
      <c r="I389" s="8" t="n"/>
      <c r="J389" s="8" t="n"/>
      <c r="K389" s="10">
        <f>IF(OR(F389="",SUMIFS($F:$F,$B:$B,B389,$E:$E,E389)=0),"",IF(SUMIFS($I:$I,$B:$B,B389,$E:$E,E389)&gt;0,N(I389)/SUMIFS($I:$I,$B:$B,B389,$E:$E,E389),F389/SUMIFS($F:$F,$B:$B,B389,$E:$E,E389)))</f>
        <v/>
      </c>
      <c r="L389" s="3">
        <f>IF(K389="","",K389*SUMIFS(Daily!$D:$D,Daily!$B:$B,B389,Daily!$A:$A,E389)+N(J389))</f>
        <v/>
      </c>
      <c r="M389" s="3">
        <f>IF(K389="","",K389*SUMIFS(Daily!$G:$G,Daily!$B:$B,B389,Daily!$A:$A,E389))</f>
        <v/>
      </c>
      <c r="N389" s="3">
        <f>IF(K389="","",K389*SUMIFS(Daily!$H:$H,Daily!$B:$B,B389,Daily!$A:$A,E389))</f>
        <v/>
      </c>
      <c r="O389" s="3">
        <f>IF(OR(M389="",F389=0),"",M389/F389*10000)</f>
        <v/>
      </c>
      <c r="P389" s="8" t="n"/>
      <c r="Q389" s="8" t="n"/>
      <c r="R389" s="6">
        <f>IF(OR(F389="",F389=0),"",N(I389)/F389)</f>
        <v/>
      </c>
      <c r="S389" s="3">
        <f>IF(OR(F389="",F389=0),"",(N(H389)+N(Q389))/F389*1000)</f>
        <v/>
      </c>
    </row>
    <row r="390">
      <c r="A390" s="8" t="n"/>
      <c r="B390" s="8" t="n"/>
      <c r="C390" s="8" t="n"/>
      <c r="D390" s="8" t="n"/>
      <c r="E390" s="9" t="n"/>
      <c r="F390" s="8" t="n"/>
      <c r="G390" s="8" t="n"/>
      <c r="H390" s="8" t="n"/>
      <c r="I390" s="8" t="n"/>
      <c r="J390" s="8" t="n"/>
      <c r="K390" s="10">
        <f>IF(OR(F390="",SUMIFS($F:$F,$B:$B,B390,$E:$E,E390)=0),"",IF(SUMIFS($I:$I,$B:$B,B390,$E:$E,E390)&gt;0,N(I390)/SUMIFS($I:$I,$B:$B,B390,$E:$E,E390),F390/SUMIFS($F:$F,$B:$B,B390,$E:$E,E390)))</f>
        <v/>
      </c>
      <c r="L390" s="3">
        <f>IF(K390="","",K390*SUMIFS(Daily!$D:$D,Daily!$B:$B,B390,Daily!$A:$A,E390)+N(J390))</f>
        <v/>
      </c>
      <c r="M390" s="3">
        <f>IF(K390="","",K390*SUMIFS(Daily!$G:$G,Daily!$B:$B,B390,Daily!$A:$A,E390))</f>
        <v/>
      </c>
      <c r="N390" s="3">
        <f>IF(K390="","",K390*SUMIFS(Daily!$H:$H,Daily!$B:$B,B390,Daily!$A:$A,E390))</f>
        <v/>
      </c>
      <c r="O390" s="3">
        <f>IF(OR(M390="",F390=0),"",M390/F390*10000)</f>
        <v/>
      </c>
      <c r="P390" s="8" t="n"/>
      <c r="Q390" s="8" t="n"/>
      <c r="R390" s="6">
        <f>IF(OR(F390="",F390=0),"",N(I390)/F390)</f>
        <v/>
      </c>
      <c r="S390" s="3">
        <f>IF(OR(F390="",F390=0),"",(N(H390)+N(Q390))/F390*1000)</f>
        <v/>
      </c>
    </row>
    <row r="391">
      <c r="A391" s="8" t="n"/>
      <c r="B391" s="8" t="n"/>
      <c r="C391" s="8" t="n"/>
      <c r="D391" s="8" t="n"/>
      <c r="E391" s="9" t="n"/>
      <c r="F391" s="8" t="n"/>
      <c r="G391" s="8" t="n"/>
      <c r="H391" s="8" t="n"/>
      <c r="I391" s="8" t="n"/>
      <c r="J391" s="8" t="n"/>
      <c r="K391" s="10">
        <f>IF(OR(F391="",SUMIFS($F:$F,$B:$B,B391,$E:$E,E391)=0),"",IF(SUMIFS($I:$I,$B:$B,B391,$E:$E,E391)&gt;0,N(I391)/SUMIFS($I:$I,$B:$B,B391,$E:$E,E391),F391/SUMIFS($F:$F,$B:$B,B391,$E:$E,E391)))</f>
        <v/>
      </c>
      <c r="L391" s="3">
        <f>IF(K391="","",K391*SUMIFS(Daily!$D:$D,Daily!$B:$B,B391,Daily!$A:$A,E391)+N(J391))</f>
        <v/>
      </c>
      <c r="M391" s="3">
        <f>IF(K391="","",K391*SUMIFS(Daily!$G:$G,Daily!$B:$B,B391,Daily!$A:$A,E391))</f>
        <v/>
      </c>
      <c r="N391" s="3">
        <f>IF(K391="","",K391*SUMIFS(Daily!$H:$H,Daily!$B:$B,B391,Daily!$A:$A,E391))</f>
        <v/>
      </c>
      <c r="O391" s="3">
        <f>IF(OR(M391="",F391=0),"",M391/F391*10000)</f>
        <v/>
      </c>
      <c r="P391" s="8" t="n"/>
      <c r="Q391" s="8" t="n"/>
      <c r="R391" s="6">
        <f>IF(OR(F391="",F391=0),"",N(I391)/F391)</f>
        <v/>
      </c>
      <c r="S391" s="3">
        <f>IF(OR(F391="",F391=0),"",(N(H391)+N(Q391))/F391*1000)</f>
        <v/>
      </c>
    </row>
    <row r="392">
      <c r="A392" s="8" t="n"/>
      <c r="B392" s="8" t="n"/>
      <c r="C392" s="8" t="n"/>
      <c r="D392" s="8" t="n"/>
      <c r="E392" s="9" t="n"/>
      <c r="F392" s="8" t="n"/>
      <c r="G392" s="8" t="n"/>
      <c r="H392" s="8" t="n"/>
      <c r="I392" s="8" t="n"/>
      <c r="J392" s="8" t="n"/>
      <c r="K392" s="10">
        <f>IF(OR(F392="",SUMIFS($F:$F,$B:$B,B392,$E:$E,E392)=0),"",IF(SUMIFS($I:$I,$B:$B,B392,$E:$E,E392)&gt;0,N(I392)/SUMIFS($I:$I,$B:$B,B392,$E:$E,E392),F392/SUMIFS($F:$F,$B:$B,B392,$E:$E,E392)))</f>
        <v/>
      </c>
      <c r="L392" s="3">
        <f>IF(K392="","",K392*SUMIFS(Daily!$D:$D,Daily!$B:$B,B392,Daily!$A:$A,E392)+N(J392))</f>
        <v/>
      </c>
      <c r="M392" s="3">
        <f>IF(K392="","",K392*SUMIFS(Daily!$G:$G,Daily!$B:$B,B392,Daily!$A:$A,E392))</f>
        <v/>
      </c>
      <c r="N392" s="3">
        <f>IF(K392="","",K392*SUMIFS(Daily!$H:$H,Daily!$B:$B,B392,Daily!$A:$A,E392))</f>
        <v/>
      </c>
      <c r="O392" s="3">
        <f>IF(OR(M392="",F392=0),"",M392/F392*10000)</f>
        <v/>
      </c>
      <c r="P392" s="8" t="n"/>
      <c r="Q392" s="8" t="n"/>
      <c r="R392" s="6">
        <f>IF(OR(F392="",F392=0),"",N(I392)/F392)</f>
        <v/>
      </c>
      <c r="S392" s="3">
        <f>IF(OR(F392="",F392=0),"",(N(H392)+N(Q392))/F392*1000)</f>
        <v/>
      </c>
    </row>
    <row r="393">
      <c r="A393" s="8" t="n"/>
      <c r="B393" s="8" t="n"/>
      <c r="C393" s="8" t="n"/>
      <c r="D393" s="8" t="n"/>
      <c r="E393" s="9" t="n"/>
      <c r="F393" s="8" t="n"/>
      <c r="G393" s="8" t="n"/>
      <c r="H393" s="8" t="n"/>
      <c r="I393" s="8" t="n"/>
      <c r="J393" s="8" t="n"/>
      <c r="K393" s="10">
        <f>IF(OR(F393="",SUMIFS($F:$F,$B:$B,B393,$E:$E,E393)=0),"",IF(SUMIFS($I:$I,$B:$B,B393,$E:$E,E393)&gt;0,N(I393)/SUMIFS($I:$I,$B:$B,B393,$E:$E,E393),F393/SUMIFS($F:$F,$B:$B,B393,$E:$E,E393)))</f>
        <v/>
      </c>
      <c r="L393" s="3">
        <f>IF(K393="","",K393*SUMIFS(Daily!$D:$D,Daily!$B:$B,B393,Daily!$A:$A,E393)+N(J393))</f>
        <v/>
      </c>
      <c r="M393" s="3">
        <f>IF(K393="","",K393*SUMIFS(Daily!$G:$G,Daily!$B:$B,B393,Daily!$A:$A,E393))</f>
        <v/>
      </c>
      <c r="N393" s="3">
        <f>IF(K393="","",K393*SUMIFS(Daily!$H:$H,Daily!$B:$B,B393,Daily!$A:$A,E393))</f>
        <v/>
      </c>
      <c r="O393" s="3">
        <f>IF(OR(M393="",F393=0),"",M393/F393*10000)</f>
        <v/>
      </c>
      <c r="P393" s="8" t="n"/>
      <c r="Q393" s="8" t="n"/>
      <c r="R393" s="6">
        <f>IF(OR(F393="",F393=0),"",N(I393)/F393)</f>
        <v/>
      </c>
      <c r="S393" s="3">
        <f>IF(OR(F393="",F393=0),"",(N(H393)+N(Q393))/F393*1000)</f>
        <v/>
      </c>
    </row>
    <row r="394">
      <c r="A394" s="8" t="n"/>
      <c r="B394" s="8" t="n"/>
      <c r="C394" s="8" t="n"/>
      <c r="D394" s="8" t="n"/>
      <c r="E394" s="9" t="n"/>
      <c r="F394" s="8" t="n"/>
      <c r="G394" s="8" t="n"/>
      <c r="H394" s="8" t="n"/>
      <c r="I394" s="8" t="n"/>
      <c r="J394" s="8" t="n"/>
      <c r="K394" s="10">
        <f>IF(OR(F394="",SUMIFS($F:$F,$B:$B,B394,$E:$E,E394)=0),"",IF(SUMIFS($I:$I,$B:$B,B394,$E:$E,E394)&gt;0,N(I394)/SUMIFS($I:$I,$B:$B,B394,$E:$E,E394),F394/SUMIFS($F:$F,$B:$B,B394,$E:$E,E394)))</f>
        <v/>
      </c>
      <c r="L394" s="3">
        <f>IF(K394="","",K394*SUMIFS(Daily!$D:$D,Daily!$B:$B,B394,Daily!$A:$A,E394)+N(J394))</f>
        <v/>
      </c>
      <c r="M394" s="3">
        <f>IF(K394="","",K394*SUMIFS(Daily!$G:$G,Daily!$B:$B,B394,Daily!$A:$A,E394))</f>
        <v/>
      </c>
      <c r="N394" s="3">
        <f>IF(K394="","",K394*SUMIFS(Daily!$H:$H,Daily!$B:$B,B394,Daily!$A:$A,E394))</f>
        <v/>
      </c>
      <c r="O394" s="3">
        <f>IF(OR(M394="",F394=0),"",M394/F394*10000)</f>
        <v/>
      </c>
      <c r="P394" s="8" t="n"/>
      <c r="Q394" s="8" t="n"/>
      <c r="R394" s="6">
        <f>IF(OR(F394="",F394=0),"",N(I394)/F394)</f>
        <v/>
      </c>
      <c r="S394" s="3">
        <f>IF(OR(F394="",F394=0),"",(N(H394)+N(Q394))/F394*1000)</f>
        <v/>
      </c>
    </row>
    <row r="395">
      <c r="A395" s="8" t="n"/>
      <c r="B395" s="8" t="n"/>
      <c r="C395" s="8" t="n"/>
      <c r="D395" s="8" t="n"/>
      <c r="E395" s="9" t="n"/>
      <c r="F395" s="8" t="n"/>
      <c r="G395" s="8" t="n"/>
      <c r="H395" s="8" t="n"/>
      <c r="I395" s="8" t="n"/>
      <c r="J395" s="8" t="n"/>
      <c r="K395" s="10">
        <f>IF(OR(F395="",SUMIFS($F:$F,$B:$B,B395,$E:$E,E395)=0),"",IF(SUMIFS($I:$I,$B:$B,B395,$E:$E,E395)&gt;0,N(I395)/SUMIFS($I:$I,$B:$B,B395,$E:$E,E395),F395/SUMIFS($F:$F,$B:$B,B395,$E:$E,E395)))</f>
        <v/>
      </c>
      <c r="L395" s="3">
        <f>IF(K395="","",K395*SUMIFS(Daily!$D:$D,Daily!$B:$B,B395,Daily!$A:$A,E395)+N(J395))</f>
        <v/>
      </c>
      <c r="M395" s="3">
        <f>IF(K395="","",K395*SUMIFS(Daily!$G:$G,Daily!$B:$B,B395,Daily!$A:$A,E395))</f>
        <v/>
      </c>
      <c r="N395" s="3">
        <f>IF(K395="","",K395*SUMIFS(Daily!$H:$H,Daily!$B:$B,B395,Daily!$A:$A,E395))</f>
        <v/>
      </c>
      <c r="O395" s="3">
        <f>IF(OR(M395="",F395=0),"",M395/F395*10000)</f>
        <v/>
      </c>
      <c r="P395" s="8" t="n"/>
      <c r="Q395" s="8" t="n"/>
      <c r="R395" s="6">
        <f>IF(OR(F395="",F395=0),"",N(I395)/F395)</f>
        <v/>
      </c>
      <c r="S395" s="3">
        <f>IF(OR(F395="",F395=0),"",(N(H395)+N(Q395))/F395*1000)</f>
        <v/>
      </c>
    </row>
    <row r="396">
      <c r="A396" s="8" t="n"/>
      <c r="B396" s="8" t="n"/>
      <c r="C396" s="8" t="n"/>
      <c r="D396" s="8" t="n"/>
      <c r="E396" s="9" t="n"/>
      <c r="F396" s="8" t="n"/>
      <c r="G396" s="8" t="n"/>
      <c r="H396" s="8" t="n"/>
      <c r="I396" s="8" t="n"/>
      <c r="J396" s="8" t="n"/>
      <c r="K396" s="10">
        <f>IF(OR(F396="",SUMIFS($F:$F,$B:$B,B396,$E:$E,E396)=0),"",IF(SUMIFS($I:$I,$B:$B,B396,$E:$E,E396)&gt;0,N(I396)/SUMIFS($I:$I,$B:$B,B396,$E:$E,E396),F396/SUMIFS($F:$F,$B:$B,B396,$E:$E,E396)))</f>
        <v/>
      </c>
      <c r="L396" s="3">
        <f>IF(K396="","",K396*SUMIFS(Daily!$D:$D,Daily!$B:$B,B396,Daily!$A:$A,E396)+N(J396))</f>
        <v/>
      </c>
      <c r="M396" s="3">
        <f>IF(K396="","",K396*SUMIFS(Daily!$G:$G,Daily!$B:$B,B396,Daily!$A:$A,E396))</f>
        <v/>
      </c>
      <c r="N396" s="3">
        <f>IF(K396="","",K396*SUMIFS(Daily!$H:$H,Daily!$B:$B,B396,Daily!$A:$A,E396))</f>
        <v/>
      </c>
      <c r="O396" s="3">
        <f>IF(OR(M396="",F396=0),"",M396/F396*10000)</f>
        <v/>
      </c>
      <c r="P396" s="8" t="n"/>
      <c r="Q396" s="8" t="n"/>
      <c r="R396" s="6">
        <f>IF(OR(F396="",F396=0),"",N(I396)/F396)</f>
        <v/>
      </c>
      <c r="S396" s="3">
        <f>IF(OR(F396="",F396=0),"",(N(H396)+N(Q396))/F396*1000)</f>
        <v/>
      </c>
    </row>
    <row r="397">
      <c r="A397" s="8" t="n"/>
      <c r="B397" s="8" t="n"/>
      <c r="C397" s="8" t="n"/>
      <c r="D397" s="8" t="n"/>
      <c r="E397" s="9" t="n"/>
      <c r="F397" s="8" t="n"/>
      <c r="G397" s="8" t="n"/>
      <c r="H397" s="8" t="n"/>
      <c r="I397" s="8" t="n"/>
      <c r="J397" s="8" t="n"/>
      <c r="K397" s="10">
        <f>IF(OR(F397="",SUMIFS($F:$F,$B:$B,B397,$E:$E,E397)=0),"",IF(SUMIFS($I:$I,$B:$B,B397,$E:$E,E397)&gt;0,N(I397)/SUMIFS($I:$I,$B:$B,B397,$E:$E,E397),F397/SUMIFS($F:$F,$B:$B,B397,$E:$E,E397)))</f>
        <v/>
      </c>
      <c r="L397" s="3">
        <f>IF(K397="","",K397*SUMIFS(Daily!$D:$D,Daily!$B:$B,B397,Daily!$A:$A,E397)+N(J397))</f>
        <v/>
      </c>
      <c r="M397" s="3">
        <f>IF(K397="","",K397*SUMIFS(Daily!$G:$G,Daily!$B:$B,B397,Daily!$A:$A,E397))</f>
        <v/>
      </c>
      <c r="N397" s="3">
        <f>IF(K397="","",K397*SUMIFS(Daily!$H:$H,Daily!$B:$B,B397,Daily!$A:$A,E397))</f>
        <v/>
      </c>
      <c r="O397" s="3">
        <f>IF(OR(M397="",F397=0),"",M397/F397*10000)</f>
        <v/>
      </c>
      <c r="P397" s="8" t="n"/>
      <c r="Q397" s="8" t="n"/>
      <c r="R397" s="6">
        <f>IF(OR(F397="",F397=0),"",N(I397)/F397)</f>
        <v/>
      </c>
      <c r="S397" s="3">
        <f>IF(OR(F397="",F397=0),"",(N(H397)+N(Q397))/F397*1000)</f>
        <v/>
      </c>
    </row>
    <row r="398">
      <c r="A398" s="8" t="n"/>
      <c r="B398" s="8" t="n"/>
      <c r="C398" s="8" t="n"/>
      <c r="D398" s="8" t="n"/>
      <c r="E398" s="9" t="n"/>
      <c r="F398" s="8" t="n"/>
      <c r="G398" s="8" t="n"/>
      <c r="H398" s="8" t="n"/>
      <c r="I398" s="8" t="n"/>
      <c r="J398" s="8" t="n"/>
      <c r="K398" s="10">
        <f>IF(OR(F398="",SUMIFS($F:$F,$B:$B,B398,$E:$E,E398)=0),"",IF(SUMIFS($I:$I,$B:$B,B398,$E:$E,E398)&gt;0,N(I398)/SUMIFS($I:$I,$B:$B,B398,$E:$E,E398),F398/SUMIFS($F:$F,$B:$B,B398,$E:$E,E398)))</f>
        <v/>
      </c>
      <c r="L398" s="3">
        <f>IF(K398="","",K398*SUMIFS(Daily!$D:$D,Daily!$B:$B,B398,Daily!$A:$A,E398)+N(J398))</f>
        <v/>
      </c>
      <c r="M398" s="3">
        <f>IF(K398="","",K398*SUMIFS(Daily!$G:$G,Daily!$B:$B,B398,Daily!$A:$A,E398))</f>
        <v/>
      </c>
      <c r="N398" s="3">
        <f>IF(K398="","",K398*SUMIFS(Daily!$H:$H,Daily!$B:$B,B398,Daily!$A:$A,E398))</f>
        <v/>
      </c>
      <c r="O398" s="3">
        <f>IF(OR(M398="",F398=0),"",M398/F398*10000)</f>
        <v/>
      </c>
      <c r="P398" s="8" t="n"/>
      <c r="Q398" s="8" t="n"/>
      <c r="R398" s="6">
        <f>IF(OR(F398="",F398=0),"",N(I398)/F398)</f>
        <v/>
      </c>
      <c r="S398" s="3">
        <f>IF(OR(F398="",F398=0),"",(N(H398)+N(Q398))/F398*1000)</f>
        <v/>
      </c>
    </row>
    <row r="399">
      <c r="A399" s="8" t="n"/>
      <c r="B399" s="8" t="n"/>
      <c r="C399" s="8" t="n"/>
      <c r="D399" s="8" t="n"/>
      <c r="E399" s="9" t="n"/>
      <c r="F399" s="8" t="n"/>
      <c r="G399" s="8" t="n"/>
      <c r="H399" s="8" t="n"/>
      <c r="I399" s="8" t="n"/>
      <c r="J399" s="8" t="n"/>
      <c r="K399" s="10">
        <f>IF(OR(F399="",SUMIFS($F:$F,$B:$B,B399,$E:$E,E399)=0),"",IF(SUMIFS($I:$I,$B:$B,B399,$E:$E,E399)&gt;0,N(I399)/SUMIFS($I:$I,$B:$B,B399,$E:$E,E399),F399/SUMIFS($F:$F,$B:$B,B399,$E:$E,E399)))</f>
        <v/>
      </c>
      <c r="L399" s="3">
        <f>IF(K399="","",K399*SUMIFS(Daily!$D:$D,Daily!$B:$B,B399,Daily!$A:$A,E399)+N(J399))</f>
        <v/>
      </c>
      <c r="M399" s="3">
        <f>IF(K399="","",K399*SUMIFS(Daily!$G:$G,Daily!$B:$B,B399,Daily!$A:$A,E399))</f>
        <v/>
      </c>
      <c r="N399" s="3">
        <f>IF(K399="","",K399*SUMIFS(Daily!$H:$H,Daily!$B:$B,B399,Daily!$A:$A,E399))</f>
        <v/>
      </c>
      <c r="O399" s="3">
        <f>IF(OR(M399="",F399=0),"",M399/F399*10000)</f>
        <v/>
      </c>
      <c r="P399" s="8" t="n"/>
      <c r="Q399" s="8" t="n"/>
      <c r="R399" s="6">
        <f>IF(OR(F399="",F399=0),"",N(I399)/F399)</f>
        <v/>
      </c>
      <c r="S399" s="3">
        <f>IF(OR(F399="",F399=0),"",(N(H399)+N(Q399))/F399*1000)</f>
        <v/>
      </c>
    </row>
    <row r="400">
      <c r="A400" s="8" t="n"/>
      <c r="B400" s="8" t="n"/>
      <c r="C400" s="8" t="n"/>
      <c r="D400" s="8" t="n"/>
      <c r="E400" s="9" t="n"/>
      <c r="F400" s="8" t="n"/>
      <c r="G400" s="8" t="n"/>
      <c r="H400" s="8" t="n"/>
      <c r="I400" s="8" t="n"/>
      <c r="J400" s="8" t="n"/>
      <c r="K400" s="10">
        <f>IF(OR(F400="",SUMIFS($F:$F,$B:$B,B400,$E:$E,E400)=0),"",IF(SUMIFS($I:$I,$B:$B,B400,$E:$E,E400)&gt;0,N(I400)/SUMIFS($I:$I,$B:$B,B400,$E:$E,E400),F400/SUMIFS($F:$F,$B:$B,B400,$E:$E,E400)))</f>
        <v/>
      </c>
      <c r="L400" s="3">
        <f>IF(K400="","",K400*SUMIFS(Daily!$D:$D,Daily!$B:$B,B400,Daily!$A:$A,E400)+N(J400))</f>
        <v/>
      </c>
      <c r="M400" s="3">
        <f>IF(K400="","",K400*SUMIFS(Daily!$G:$G,Daily!$B:$B,B400,Daily!$A:$A,E400))</f>
        <v/>
      </c>
      <c r="N400" s="3">
        <f>IF(K400="","",K400*SUMIFS(Daily!$H:$H,Daily!$B:$B,B400,Daily!$A:$A,E400))</f>
        <v/>
      </c>
      <c r="O400" s="3">
        <f>IF(OR(M400="",F400=0),"",M400/F400*10000)</f>
        <v/>
      </c>
      <c r="P400" s="8" t="n"/>
      <c r="Q400" s="8" t="n"/>
      <c r="R400" s="6">
        <f>IF(OR(F400="",F400=0),"",N(I400)/F400)</f>
        <v/>
      </c>
      <c r="S400" s="3">
        <f>IF(OR(F400="",F400=0),"",(N(H400)+N(Q400))/F400*1000)</f>
        <v/>
      </c>
    </row>
    <row r="401">
      <c r="A401" s="8" t="n"/>
      <c r="B401" s="8" t="n"/>
      <c r="C401" s="8" t="n"/>
      <c r="D401" s="8" t="n"/>
      <c r="E401" s="9" t="n"/>
      <c r="F401" s="8" t="n"/>
      <c r="G401" s="8" t="n"/>
      <c r="H401" s="8" t="n"/>
      <c r="I401" s="8" t="n"/>
      <c r="J401" s="8" t="n"/>
      <c r="K401" s="10">
        <f>IF(OR(F401="",SUMIFS($F:$F,$B:$B,B401,$E:$E,E401)=0),"",IF(SUMIFS($I:$I,$B:$B,B401,$E:$E,E401)&gt;0,N(I401)/SUMIFS($I:$I,$B:$B,B401,$E:$E,E401),F401/SUMIFS($F:$F,$B:$B,B401,$E:$E,E401)))</f>
        <v/>
      </c>
      <c r="L401" s="3">
        <f>IF(K401="","",K401*SUMIFS(Daily!$D:$D,Daily!$B:$B,B401,Daily!$A:$A,E401)+N(J401))</f>
        <v/>
      </c>
      <c r="M401" s="3">
        <f>IF(K401="","",K401*SUMIFS(Daily!$G:$G,Daily!$B:$B,B401,Daily!$A:$A,E401))</f>
        <v/>
      </c>
      <c r="N401" s="3">
        <f>IF(K401="","",K401*SUMIFS(Daily!$H:$H,Daily!$B:$B,B401,Daily!$A:$A,E401))</f>
        <v/>
      </c>
      <c r="O401" s="3">
        <f>IF(OR(M401="",F401=0),"",M401/F401*10000)</f>
        <v/>
      </c>
      <c r="P401" s="8" t="n"/>
      <c r="Q401" s="8" t="n"/>
      <c r="R401" s="6">
        <f>IF(OR(F401="",F401=0),"",N(I401)/F401)</f>
        <v/>
      </c>
      <c r="S401" s="3">
        <f>IF(OR(F401="",F401=0),"",(N(H401)+N(Q401))/F401*1000)</f>
        <v/>
      </c>
    </row>
  </sheetData>
  <dataValidations count="2">
    <dataValidation sqref="B2:B401" showDropDown="0" showInputMessage="0" showErrorMessage="0" allowBlank="1" type="list">
      <formula1>=Accounts!$A$2:$A$60</formula1>
    </dataValidation>
    <dataValidation sqref="C2:C401" showDropDown="0" showInputMessage="0" showErrorMessage="0" allowBlank="1" type="list">
      <formula1>"whatif,anim,alarm,pov,ramadan,mixed,seo"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10" customWidth="1" min="4" max="4"/>
    <col width="11" customWidth="1" min="5" max="5"/>
    <col width="10" customWidth="1" min="6" max="6"/>
    <col width="9" customWidth="1" min="7" max="7"/>
    <col width="8" customWidth="1" min="8" max="8"/>
    <col width="10" customWidth="1" min="9" max="9"/>
    <col width="11" customWidth="1" min="10" max="10"/>
    <col width="12" customWidth="1" min="11" max="11"/>
    <col width="11" customWidth="1" min="12" max="12"/>
    <col width="11" customWidth="1" min="13" max="13"/>
    <col width="12" customWidth="1" min="14" max="14"/>
  </cols>
  <sheetData>
    <row r="1" ht="32" customHeight="1">
      <c r="A1" s="2" t="inlineStr">
        <is>
          <t>date</t>
        </is>
      </c>
      <c r="B1" s="2" t="inlineStr">
        <is>
          <t>account</t>
        </is>
      </c>
      <c r="C1" s="2" t="inlineStr">
        <is>
          <t>format</t>
        </is>
      </c>
      <c r="D1" s="2" t="inlineStr">
        <is>
          <t>bio_clicks</t>
        </is>
      </c>
      <c r="E1" s="2" t="inlineStr">
        <is>
          <t>video_link_clicks</t>
        </is>
      </c>
      <c r="F1" s="2" t="inlineStr">
        <is>
          <t>page_views</t>
        </is>
      </c>
      <c r="G1" s="2" t="inlineStr">
        <is>
          <t>installs</t>
        </is>
      </c>
      <c r="H1" s="2" t="inlineStr">
        <is>
          <t>trials</t>
        </is>
      </c>
      <c r="I1" s="2" t="inlineStr">
        <is>
          <t>purchases</t>
        </is>
      </c>
      <c r="J1" s="2" t="inlineStr">
        <is>
          <t>proceeds_usd</t>
        </is>
      </c>
      <c r="K1" s="2" t="inlineStr">
        <is>
          <t>views_posted_that_day</t>
        </is>
      </c>
      <c r="L1" s="2" t="inlineStr">
        <is>
          <t>clicks_per_1k_views</t>
        </is>
      </c>
      <c r="M1" s="2" t="inlineStr">
        <is>
          <t>click_to_install</t>
        </is>
      </c>
      <c r="N1" s="2" t="inlineStr">
        <is>
          <t>installs_per_10k_views</t>
        </is>
      </c>
    </row>
    <row r="2">
      <c r="A2" s="9" t="n">
        <v>46319</v>
      </c>
      <c r="B2" s="8" t="inlineStr">
        <is>
          <t>tt01</t>
        </is>
      </c>
      <c r="C2">
        <f>IF(B2="","",IFERROR(VLOOKUP(B2,Accounts!$A:$D,4,FALSE),""))</f>
        <v/>
      </c>
      <c r="D2" s="8" t="n">
        <v>48</v>
      </c>
      <c r="E2" s="8" t="n">
        <v>0</v>
      </c>
      <c r="F2" s="8" t="n">
        <v>90</v>
      </c>
      <c r="G2" s="8" t="n">
        <v>9</v>
      </c>
      <c r="H2" s="8" t="n">
        <v>2</v>
      </c>
      <c r="I2" s="8" t="n">
        <v>1</v>
      </c>
      <c r="J2" s="8" t="n">
        <v>25.5</v>
      </c>
      <c r="K2">
        <f>IF(B2="","",SUMIFS(Videos!$F:$F,Videos!$B:$B,B2,Videos!$E:$E,A2))</f>
        <v/>
      </c>
      <c r="L2" s="3">
        <f>IF(OR(K2="",K2=0),"",(D2+E2)/K2*1000)</f>
        <v/>
      </c>
      <c r="M2" s="10">
        <f>IF(OR(B2="",D2+E2=0),"",G2/(D2+E2))</f>
        <v/>
      </c>
      <c r="N2" s="3">
        <f>IF(OR(K2="",K2=0),"",G2/K2*10000)</f>
        <v/>
      </c>
    </row>
    <row r="3">
      <c r="A3" s="9" t="n">
        <v>46319</v>
      </c>
      <c r="B3" s="8" t="inlineStr">
        <is>
          <t>tt05</t>
        </is>
      </c>
      <c r="C3">
        <f>IF(B3="","",IFERROR(VLOOKUP(B3,Accounts!$A:$D,4,FALSE),""))</f>
        <v/>
      </c>
      <c r="D3" s="8" t="n">
        <v>40</v>
      </c>
      <c r="E3" s="8" t="n">
        <v>0</v>
      </c>
      <c r="F3" s="8" t="n">
        <v>70</v>
      </c>
      <c r="G3" s="8" t="n">
        <v>11</v>
      </c>
      <c r="H3" s="8" t="n">
        <v>3</v>
      </c>
      <c r="I3" s="8" t="n">
        <v>1</v>
      </c>
      <c r="J3" s="8" t="n">
        <v>25.5</v>
      </c>
      <c r="K3">
        <f>IF(B3="","",SUMIFS(Videos!$F:$F,Videos!$B:$B,B3,Videos!$E:$E,A3))</f>
        <v/>
      </c>
      <c r="L3" s="3">
        <f>IF(OR(K3="",K3=0),"",(D3+E3)/K3*1000)</f>
        <v/>
      </c>
      <c r="M3" s="10">
        <f>IF(OR(B3="",D3+E3=0),"",G3/(D3+E3))</f>
        <v/>
      </c>
      <c r="N3" s="3">
        <f>IF(OR(K3="",K3=0),"",G3/K3*10000)</f>
        <v/>
      </c>
    </row>
    <row r="4">
      <c r="A4" s="9" t="n">
        <v>46319</v>
      </c>
      <c r="B4" s="8" t="inlineStr">
        <is>
          <t>ig1</t>
        </is>
      </c>
      <c r="C4">
        <f>IF(B4="","",IFERROR(VLOOKUP(B4,Accounts!$A:$D,4,FALSE),""))</f>
        <v/>
      </c>
      <c r="D4" s="8" t="n">
        <v>30</v>
      </c>
      <c r="E4" s="8" t="n">
        <v>35</v>
      </c>
      <c r="F4" s="8" t="n">
        <v>80</v>
      </c>
      <c r="G4" s="8" t="n">
        <v>12</v>
      </c>
      <c r="H4" s="8" t="n">
        <v>2</v>
      </c>
      <c r="I4" s="8" t="n">
        <v>2</v>
      </c>
      <c r="J4" s="8" t="n">
        <v>51</v>
      </c>
      <c r="K4">
        <f>IF(B4="","",SUMIFS(Videos!$F:$F,Videos!$B:$B,B4,Videos!$E:$E,A4))</f>
        <v/>
      </c>
      <c r="L4" s="3">
        <f>IF(OR(K4="",K4=0),"",(D4+E4)/K4*1000)</f>
        <v/>
      </c>
      <c r="M4" s="10">
        <f>IF(OR(B4="",D4+E4=0),"",G4/(D4+E4))</f>
        <v/>
      </c>
      <c r="N4" s="3">
        <f>IF(OR(K4="",K4=0),"",G4/K4*10000)</f>
        <v/>
      </c>
    </row>
    <row r="5">
      <c r="A5" s="9" t="n"/>
      <c r="B5" s="8" t="n"/>
      <c r="C5">
        <f>IF(B5="","",IFERROR(VLOOKUP(B5,Accounts!$A:$D,4,FALSE),""))</f>
        <v/>
      </c>
      <c r="D5" s="8" t="n"/>
      <c r="E5" s="8" t="n"/>
      <c r="F5" s="8" t="n"/>
      <c r="G5" s="8" t="n"/>
      <c r="H5" s="8" t="n"/>
      <c r="I5" s="8" t="n"/>
      <c r="J5" s="8" t="n"/>
      <c r="K5">
        <f>IF(B5="","",SUMIFS(Videos!$F:$F,Videos!$B:$B,B5,Videos!$E:$E,A5))</f>
        <v/>
      </c>
      <c r="L5" s="3">
        <f>IF(OR(K5="",K5=0),"",(D5+E5)/K5*1000)</f>
        <v/>
      </c>
      <c r="M5" s="10">
        <f>IF(OR(B5="",D5+E5=0),"",G5/(D5+E5))</f>
        <v/>
      </c>
      <c r="N5" s="3">
        <f>IF(OR(K5="",K5=0),"",G5/K5*10000)</f>
        <v/>
      </c>
    </row>
    <row r="6">
      <c r="A6" s="9" t="n"/>
      <c r="B6" s="8" t="n"/>
      <c r="C6">
        <f>IF(B6="","",IFERROR(VLOOKUP(B6,Accounts!$A:$D,4,FALSE),""))</f>
        <v/>
      </c>
      <c r="D6" s="8" t="n"/>
      <c r="E6" s="8" t="n"/>
      <c r="F6" s="8" t="n"/>
      <c r="G6" s="8" t="n"/>
      <c r="H6" s="8" t="n"/>
      <c r="I6" s="8" t="n"/>
      <c r="J6" s="8" t="n"/>
      <c r="K6">
        <f>IF(B6="","",SUMIFS(Videos!$F:$F,Videos!$B:$B,B6,Videos!$E:$E,A6))</f>
        <v/>
      </c>
      <c r="L6" s="3">
        <f>IF(OR(K6="",K6=0),"",(D6+E6)/K6*1000)</f>
        <v/>
      </c>
      <c r="M6" s="10">
        <f>IF(OR(B6="",D6+E6=0),"",G6/(D6+E6))</f>
        <v/>
      </c>
      <c r="N6" s="3">
        <f>IF(OR(K6="",K6=0),"",G6/K6*10000)</f>
        <v/>
      </c>
    </row>
    <row r="7">
      <c r="A7" s="9" t="n"/>
      <c r="B7" s="8" t="n"/>
      <c r="C7">
        <f>IF(B7="","",IFERROR(VLOOKUP(B7,Accounts!$A:$D,4,FALSE),""))</f>
        <v/>
      </c>
      <c r="D7" s="8" t="n"/>
      <c r="E7" s="8" t="n"/>
      <c r="F7" s="8" t="n"/>
      <c r="G7" s="8" t="n"/>
      <c r="H7" s="8" t="n"/>
      <c r="I7" s="8" t="n"/>
      <c r="J7" s="8" t="n"/>
      <c r="K7">
        <f>IF(B7="","",SUMIFS(Videos!$F:$F,Videos!$B:$B,B7,Videos!$E:$E,A7))</f>
        <v/>
      </c>
      <c r="L7" s="3">
        <f>IF(OR(K7="",K7=0),"",(D7+E7)/K7*1000)</f>
        <v/>
      </c>
      <c r="M7" s="10">
        <f>IF(OR(B7="",D7+E7=0),"",G7/(D7+E7))</f>
        <v/>
      </c>
      <c r="N7" s="3">
        <f>IF(OR(K7="",K7=0),"",G7/K7*10000)</f>
        <v/>
      </c>
    </row>
    <row r="8">
      <c r="A8" s="9" t="n"/>
      <c r="B8" s="8" t="n"/>
      <c r="C8">
        <f>IF(B8="","",IFERROR(VLOOKUP(B8,Accounts!$A:$D,4,FALSE),""))</f>
        <v/>
      </c>
      <c r="D8" s="8" t="n"/>
      <c r="E8" s="8" t="n"/>
      <c r="F8" s="8" t="n"/>
      <c r="G8" s="8" t="n"/>
      <c r="H8" s="8" t="n"/>
      <c r="I8" s="8" t="n"/>
      <c r="J8" s="8" t="n"/>
      <c r="K8">
        <f>IF(B8="","",SUMIFS(Videos!$F:$F,Videos!$B:$B,B8,Videos!$E:$E,A8))</f>
        <v/>
      </c>
      <c r="L8" s="3">
        <f>IF(OR(K8="",K8=0),"",(D8+E8)/K8*1000)</f>
        <v/>
      </c>
      <c r="M8" s="10">
        <f>IF(OR(B8="",D8+E8=0),"",G8/(D8+E8))</f>
        <v/>
      </c>
      <c r="N8" s="3">
        <f>IF(OR(K8="",K8=0),"",G8/K8*10000)</f>
        <v/>
      </c>
    </row>
    <row r="9">
      <c r="A9" s="9" t="n"/>
      <c r="B9" s="8" t="n"/>
      <c r="C9">
        <f>IF(B9="","",IFERROR(VLOOKUP(B9,Accounts!$A:$D,4,FALSE),""))</f>
        <v/>
      </c>
      <c r="D9" s="8" t="n"/>
      <c r="E9" s="8" t="n"/>
      <c r="F9" s="8" t="n"/>
      <c r="G9" s="8" t="n"/>
      <c r="H9" s="8" t="n"/>
      <c r="I9" s="8" t="n"/>
      <c r="J9" s="8" t="n"/>
      <c r="K9">
        <f>IF(B9="","",SUMIFS(Videos!$F:$F,Videos!$B:$B,B9,Videos!$E:$E,A9))</f>
        <v/>
      </c>
      <c r="L9" s="3">
        <f>IF(OR(K9="",K9=0),"",(D9+E9)/K9*1000)</f>
        <v/>
      </c>
      <c r="M9" s="10">
        <f>IF(OR(B9="",D9+E9=0),"",G9/(D9+E9))</f>
        <v/>
      </c>
      <c r="N9" s="3">
        <f>IF(OR(K9="",K9=0),"",G9/K9*10000)</f>
        <v/>
      </c>
    </row>
    <row r="10">
      <c r="A10" s="9" t="n"/>
      <c r="B10" s="8" t="n"/>
      <c r="C10">
        <f>IF(B10="","",IFERROR(VLOOKUP(B10,Accounts!$A:$D,4,FALSE),""))</f>
        <v/>
      </c>
      <c r="D10" s="8" t="n"/>
      <c r="E10" s="8" t="n"/>
      <c r="F10" s="8" t="n"/>
      <c r="G10" s="8" t="n"/>
      <c r="H10" s="8" t="n"/>
      <c r="I10" s="8" t="n"/>
      <c r="J10" s="8" t="n"/>
      <c r="K10">
        <f>IF(B10="","",SUMIFS(Videos!$F:$F,Videos!$B:$B,B10,Videos!$E:$E,A10))</f>
        <v/>
      </c>
      <c r="L10" s="3">
        <f>IF(OR(K10="",K10=0),"",(D10+E10)/K10*1000)</f>
        <v/>
      </c>
      <c r="M10" s="10">
        <f>IF(OR(B10="",D10+E10=0),"",G10/(D10+E10))</f>
        <v/>
      </c>
      <c r="N10" s="3">
        <f>IF(OR(K10="",K10=0),"",G10/K10*10000)</f>
        <v/>
      </c>
    </row>
    <row r="11">
      <c r="A11" s="9" t="n"/>
      <c r="B11" s="8" t="n"/>
      <c r="C11">
        <f>IF(B11="","",IFERROR(VLOOKUP(B11,Accounts!$A:$D,4,FALSE),""))</f>
        <v/>
      </c>
      <c r="D11" s="8" t="n"/>
      <c r="E11" s="8" t="n"/>
      <c r="F11" s="8" t="n"/>
      <c r="G11" s="8" t="n"/>
      <c r="H11" s="8" t="n"/>
      <c r="I11" s="8" t="n"/>
      <c r="J11" s="8" t="n"/>
      <c r="K11">
        <f>IF(B11="","",SUMIFS(Videos!$F:$F,Videos!$B:$B,B11,Videos!$E:$E,A11))</f>
        <v/>
      </c>
      <c r="L11" s="3">
        <f>IF(OR(K11="",K11=0),"",(D11+E11)/K11*1000)</f>
        <v/>
      </c>
      <c r="M11" s="10">
        <f>IF(OR(B11="",D11+E11=0),"",G11/(D11+E11))</f>
        <v/>
      </c>
      <c r="N11" s="3">
        <f>IF(OR(K11="",K11=0),"",G11/K11*10000)</f>
        <v/>
      </c>
    </row>
    <row r="12">
      <c r="A12" s="9" t="n"/>
      <c r="B12" s="8" t="n"/>
      <c r="C12">
        <f>IF(B12="","",IFERROR(VLOOKUP(B12,Accounts!$A:$D,4,FALSE),""))</f>
        <v/>
      </c>
      <c r="D12" s="8" t="n"/>
      <c r="E12" s="8" t="n"/>
      <c r="F12" s="8" t="n"/>
      <c r="G12" s="8" t="n"/>
      <c r="H12" s="8" t="n"/>
      <c r="I12" s="8" t="n"/>
      <c r="J12" s="8" t="n"/>
      <c r="K12">
        <f>IF(B12="","",SUMIFS(Videos!$F:$F,Videos!$B:$B,B12,Videos!$E:$E,A12))</f>
        <v/>
      </c>
      <c r="L12" s="3">
        <f>IF(OR(K12="",K12=0),"",(D12+E12)/K12*1000)</f>
        <v/>
      </c>
      <c r="M12" s="10">
        <f>IF(OR(B12="",D12+E12=0),"",G12/(D12+E12))</f>
        <v/>
      </c>
      <c r="N12" s="3">
        <f>IF(OR(K12="",K12=0),"",G12/K12*10000)</f>
        <v/>
      </c>
    </row>
    <row r="13">
      <c r="A13" s="9" t="n"/>
      <c r="B13" s="8" t="n"/>
      <c r="C13">
        <f>IF(B13="","",IFERROR(VLOOKUP(B13,Accounts!$A:$D,4,FALSE),""))</f>
        <v/>
      </c>
      <c r="D13" s="8" t="n"/>
      <c r="E13" s="8" t="n"/>
      <c r="F13" s="8" t="n"/>
      <c r="G13" s="8" t="n"/>
      <c r="H13" s="8" t="n"/>
      <c r="I13" s="8" t="n"/>
      <c r="J13" s="8" t="n"/>
      <c r="K13">
        <f>IF(B13="","",SUMIFS(Videos!$F:$F,Videos!$B:$B,B13,Videos!$E:$E,A13))</f>
        <v/>
      </c>
      <c r="L13" s="3">
        <f>IF(OR(K13="",K13=0),"",(D13+E13)/K13*1000)</f>
        <v/>
      </c>
      <c r="M13" s="10">
        <f>IF(OR(B13="",D13+E13=0),"",G13/(D13+E13))</f>
        <v/>
      </c>
      <c r="N13" s="3">
        <f>IF(OR(K13="",K13=0),"",G13/K13*10000)</f>
        <v/>
      </c>
    </row>
    <row r="14">
      <c r="A14" s="9" t="n"/>
      <c r="B14" s="8" t="n"/>
      <c r="C14">
        <f>IF(B14="","",IFERROR(VLOOKUP(B14,Accounts!$A:$D,4,FALSE),""))</f>
        <v/>
      </c>
      <c r="D14" s="8" t="n"/>
      <c r="E14" s="8" t="n"/>
      <c r="F14" s="8" t="n"/>
      <c r="G14" s="8" t="n"/>
      <c r="H14" s="8" t="n"/>
      <c r="I14" s="8" t="n"/>
      <c r="J14" s="8" t="n"/>
      <c r="K14">
        <f>IF(B14="","",SUMIFS(Videos!$F:$F,Videos!$B:$B,B14,Videos!$E:$E,A14))</f>
        <v/>
      </c>
      <c r="L14" s="3">
        <f>IF(OR(K14="",K14=0),"",(D14+E14)/K14*1000)</f>
        <v/>
      </c>
      <c r="M14" s="10">
        <f>IF(OR(B14="",D14+E14=0),"",G14/(D14+E14))</f>
        <v/>
      </c>
      <c r="N14" s="3">
        <f>IF(OR(K14="",K14=0),"",G14/K14*10000)</f>
        <v/>
      </c>
    </row>
    <row r="15">
      <c r="A15" s="9" t="n"/>
      <c r="B15" s="8" t="n"/>
      <c r="C15">
        <f>IF(B15="","",IFERROR(VLOOKUP(B15,Accounts!$A:$D,4,FALSE),""))</f>
        <v/>
      </c>
      <c r="D15" s="8" t="n"/>
      <c r="E15" s="8" t="n"/>
      <c r="F15" s="8" t="n"/>
      <c r="G15" s="8" t="n"/>
      <c r="H15" s="8" t="n"/>
      <c r="I15" s="8" t="n"/>
      <c r="J15" s="8" t="n"/>
      <c r="K15">
        <f>IF(B15="","",SUMIFS(Videos!$F:$F,Videos!$B:$B,B15,Videos!$E:$E,A15))</f>
        <v/>
      </c>
      <c r="L15" s="3">
        <f>IF(OR(K15="",K15=0),"",(D15+E15)/K15*1000)</f>
        <v/>
      </c>
      <c r="M15" s="10">
        <f>IF(OR(B15="",D15+E15=0),"",G15/(D15+E15))</f>
        <v/>
      </c>
      <c r="N15" s="3">
        <f>IF(OR(K15="",K15=0),"",G15/K15*10000)</f>
        <v/>
      </c>
    </row>
    <row r="16">
      <c r="A16" s="9" t="n"/>
      <c r="B16" s="8" t="n"/>
      <c r="C16">
        <f>IF(B16="","",IFERROR(VLOOKUP(B16,Accounts!$A:$D,4,FALSE),""))</f>
        <v/>
      </c>
      <c r="D16" s="8" t="n"/>
      <c r="E16" s="8" t="n"/>
      <c r="F16" s="8" t="n"/>
      <c r="G16" s="8" t="n"/>
      <c r="H16" s="8" t="n"/>
      <c r="I16" s="8" t="n"/>
      <c r="J16" s="8" t="n"/>
      <c r="K16">
        <f>IF(B16="","",SUMIFS(Videos!$F:$F,Videos!$B:$B,B16,Videos!$E:$E,A16))</f>
        <v/>
      </c>
      <c r="L16" s="3">
        <f>IF(OR(K16="",K16=0),"",(D16+E16)/K16*1000)</f>
        <v/>
      </c>
      <c r="M16" s="10">
        <f>IF(OR(B16="",D16+E16=0),"",G16/(D16+E16))</f>
        <v/>
      </c>
      <c r="N16" s="3">
        <f>IF(OR(K16="",K16=0),"",G16/K16*10000)</f>
        <v/>
      </c>
    </row>
    <row r="17">
      <c r="A17" s="9" t="n"/>
      <c r="B17" s="8" t="n"/>
      <c r="C17">
        <f>IF(B17="","",IFERROR(VLOOKUP(B17,Accounts!$A:$D,4,FALSE),""))</f>
        <v/>
      </c>
      <c r="D17" s="8" t="n"/>
      <c r="E17" s="8" t="n"/>
      <c r="F17" s="8" t="n"/>
      <c r="G17" s="8" t="n"/>
      <c r="H17" s="8" t="n"/>
      <c r="I17" s="8" t="n"/>
      <c r="J17" s="8" t="n"/>
      <c r="K17">
        <f>IF(B17="","",SUMIFS(Videos!$F:$F,Videos!$B:$B,B17,Videos!$E:$E,A17))</f>
        <v/>
      </c>
      <c r="L17" s="3">
        <f>IF(OR(K17="",K17=0),"",(D17+E17)/K17*1000)</f>
        <v/>
      </c>
      <c r="M17" s="10">
        <f>IF(OR(B17="",D17+E17=0),"",G17/(D17+E17))</f>
        <v/>
      </c>
      <c r="N17" s="3">
        <f>IF(OR(K17="",K17=0),"",G17/K17*10000)</f>
        <v/>
      </c>
    </row>
    <row r="18">
      <c r="A18" s="9" t="n"/>
      <c r="B18" s="8" t="n"/>
      <c r="C18">
        <f>IF(B18="","",IFERROR(VLOOKUP(B18,Accounts!$A:$D,4,FALSE),""))</f>
        <v/>
      </c>
      <c r="D18" s="8" t="n"/>
      <c r="E18" s="8" t="n"/>
      <c r="F18" s="8" t="n"/>
      <c r="G18" s="8" t="n"/>
      <c r="H18" s="8" t="n"/>
      <c r="I18" s="8" t="n"/>
      <c r="J18" s="8" t="n"/>
      <c r="K18">
        <f>IF(B18="","",SUMIFS(Videos!$F:$F,Videos!$B:$B,B18,Videos!$E:$E,A18))</f>
        <v/>
      </c>
      <c r="L18" s="3">
        <f>IF(OR(K18="",K18=0),"",(D18+E18)/K18*1000)</f>
        <v/>
      </c>
      <c r="M18" s="10">
        <f>IF(OR(B18="",D18+E18=0),"",G18/(D18+E18))</f>
        <v/>
      </c>
      <c r="N18" s="3">
        <f>IF(OR(K18="",K18=0),"",G18/K18*10000)</f>
        <v/>
      </c>
    </row>
    <row r="19">
      <c r="A19" s="9" t="n"/>
      <c r="B19" s="8" t="n"/>
      <c r="C19">
        <f>IF(B19="","",IFERROR(VLOOKUP(B19,Accounts!$A:$D,4,FALSE),""))</f>
        <v/>
      </c>
      <c r="D19" s="8" t="n"/>
      <c r="E19" s="8" t="n"/>
      <c r="F19" s="8" t="n"/>
      <c r="G19" s="8" t="n"/>
      <c r="H19" s="8" t="n"/>
      <c r="I19" s="8" t="n"/>
      <c r="J19" s="8" t="n"/>
      <c r="K19">
        <f>IF(B19="","",SUMIFS(Videos!$F:$F,Videos!$B:$B,B19,Videos!$E:$E,A19))</f>
        <v/>
      </c>
      <c r="L19" s="3">
        <f>IF(OR(K19="",K19=0),"",(D19+E19)/K19*1000)</f>
        <v/>
      </c>
      <c r="M19" s="10">
        <f>IF(OR(B19="",D19+E19=0),"",G19/(D19+E19))</f>
        <v/>
      </c>
      <c r="N19" s="3">
        <f>IF(OR(K19="",K19=0),"",G19/K19*10000)</f>
        <v/>
      </c>
    </row>
    <row r="20">
      <c r="A20" s="9" t="n"/>
      <c r="B20" s="8" t="n"/>
      <c r="C20">
        <f>IF(B20="","",IFERROR(VLOOKUP(B20,Accounts!$A:$D,4,FALSE),""))</f>
        <v/>
      </c>
      <c r="D20" s="8" t="n"/>
      <c r="E20" s="8" t="n"/>
      <c r="F20" s="8" t="n"/>
      <c r="G20" s="8" t="n"/>
      <c r="H20" s="8" t="n"/>
      <c r="I20" s="8" t="n"/>
      <c r="J20" s="8" t="n"/>
      <c r="K20">
        <f>IF(B20="","",SUMIFS(Videos!$F:$F,Videos!$B:$B,B20,Videos!$E:$E,A20))</f>
        <v/>
      </c>
      <c r="L20" s="3">
        <f>IF(OR(K20="",K20=0),"",(D20+E20)/K20*1000)</f>
        <v/>
      </c>
      <c r="M20" s="10">
        <f>IF(OR(B20="",D20+E20=0),"",G20/(D20+E20))</f>
        <v/>
      </c>
      <c r="N20" s="3">
        <f>IF(OR(K20="",K20=0),"",G20/K20*10000)</f>
        <v/>
      </c>
    </row>
    <row r="21">
      <c r="A21" s="9" t="n"/>
      <c r="B21" s="8" t="n"/>
      <c r="C21">
        <f>IF(B21="","",IFERROR(VLOOKUP(B21,Accounts!$A:$D,4,FALSE),""))</f>
        <v/>
      </c>
      <c r="D21" s="8" t="n"/>
      <c r="E21" s="8" t="n"/>
      <c r="F21" s="8" t="n"/>
      <c r="G21" s="8" t="n"/>
      <c r="H21" s="8" t="n"/>
      <c r="I21" s="8" t="n"/>
      <c r="J21" s="8" t="n"/>
      <c r="K21">
        <f>IF(B21="","",SUMIFS(Videos!$F:$F,Videos!$B:$B,B21,Videos!$E:$E,A21))</f>
        <v/>
      </c>
      <c r="L21" s="3">
        <f>IF(OR(K21="",K21=0),"",(D21+E21)/K21*1000)</f>
        <v/>
      </c>
      <c r="M21" s="10">
        <f>IF(OR(B21="",D21+E21=0),"",G21/(D21+E21))</f>
        <v/>
      </c>
      <c r="N21" s="3">
        <f>IF(OR(K21="",K21=0),"",G21/K21*10000)</f>
        <v/>
      </c>
    </row>
    <row r="22">
      <c r="A22" s="9" t="n"/>
      <c r="B22" s="8" t="n"/>
      <c r="C22">
        <f>IF(B22="","",IFERROR(VLOOKUP(B22,Accounts!$A:$D,4,FALSE),""))</f>
        <v/>
      </c>
      <c r="D22" s="8" t="n"/>
      <c r="E22" s="8" t="n"/>
      <c r="F22" s="8" t="n"/>
      <c r="G22" s="8" t="n"/>
      <c r="H22" s="8" t="n"/>
      <c r="I22" s="8" t="n"/>
      <c r="J22" s="8" t="n"/>
      <c r="K22">
        <f>IF(B22="","",SUMIFS(Videos!$F:$F,Videos!$B:$B,B22,Videos!$E:$E,A22))</f>
        <v/>
      </c>
      <c r="L22" s="3">
        <f>IF(OR(K22="",K22=0),"",(D22+E22)/K22*1000)</f>
        <v/>
      </c>
      <c r="M22" s="10">
        <f>IF(OR(B22="",D22+E22=0),"",G22/(D22+E22))</f>
        <v/>
      </c>
      <c r="N22" s="3">
        <f>IF(OR(K22="",K22=0),"",G22/K22*10000)</f>
        <v/>
      </c>
    </row>
    <row r="23">
      <c r="A23" s="9" t="n"/>
      <c r="B23" s="8" t="n"/>
      <c r="C23">
        <f>IF(B23="","",IFERROR(VLOOKUP(B23,Accounts!$A:$D,4,FALSE),""))</f>
        <v/>
      </c>
      <c r="D23" s="8" t="n"/>
      <c r="E23" s="8" t="n"/>
      <c r="F23" s="8" t="n"/>
      <c r="G23" s="8" t="n"/>
      <c r="H23" s="8" t="n"/>
      <c r="I23" s="8" t="n"/>
      <c r="J23" s="8" t="n"/>
      <c r="K23">
        <f>IF(B23="","",SUMIFS(Videos!$F:$F,Videos!$B:$B,B23,Videos!$E:$E,A23))</f>
        <v/>
      </c>
      <c r="L23" s="3">
        <f>IF(OR(K23="",K23=0),"",(D23+E23)/K23*1000)</f>
        <v/>
      </c>
      <c r="M23" s="10">
        <f>IF(OR(B23="",D23+E23=0),"",G23/(D23+E23))</f>
        <v/>
      </c>
      <c r="N23" s="3">
        <f>IF(OR(K23="",K23=0),"",G23/K23*10000)</f>
        <v/>
      </c>
    </row>
    <row r="24">
      <c r="A24" s="9" t="n"/>
      <c r="B24" s="8" t="n"/>
      <c r="C24">
        <f>IF(B24="","",IFERROR(VLOOKUP(B24,Accounts!$A:$D,4,FALSE),""))</f>
        <v/>
      </c>
      <c r="D24" s="8" t="n"/>
      <c r="E24" s="8" t="n"/>
      <c r="F24" s="8" t="n"/>
      <c r="G24" s="8" t="n"/>
      <c r="H24" s="8" t="n"/>
      <c r="I24" s="8" t="n"/>
      <c r="J24" s="8" t="n"/>
      <c r="K24">
        <f>IF(B24="","",SUMIFS(Videos!$F:$F,Videos!$B:$B,B24,Videos!$E:$E,A24))</f>
        <v/>
      </c>
      <c r="L24" s="3">
        <f>IF(OR(K24="",K24=0),"",(D24+E24)/K24*1000)</f>
        <v/>
      </c>
      <c r="M24" s="10">
        <f>IF(OR(B24="",D24+E24=0),"",G24/(D24+E24))</f>
        <v/>
      </c>
      <c r="N24" s="3">
        <f>IF(OR(K24="",K24=0),"",G24/K24*10000)</f>
        <v/>
      </c>
    </row>
    <row r="25">
      <c r="A25" s="9" t="n"/>
      <c r="B25" s="8" t="n"/>
      <c r="C25">
        <f>IF(B25="","",IFERROR(VLOOKUP(B25,Accounts!$A:$D,4,FALSE),""))</f>
        <v/>
      </c>
      <c r="D25" s="8" t="n"/>
      <c r="E25" s="8" t="n"/>
      <c r="F25" s="8" t="n"/>
      <c r="G25" s="8" t="n"/>
      <c r="H25" s="8" t="n"/>
      <c r="I25" s="8" t="n"/>
      <c r="J25" s="8" t="n"/>
      <c r="K25">
        <f>IF(B25="","",SUMIFS(Videos!$F:$F,Videos!$B:$B,B25,Videos!$E:$E,A25))</f>
        <v/>
      </c>
      <c r="L25" s="3">
        <f>IF(OR(K25="",K25=0),"",(D25+E25)/K25*1000)</f>
        <v/>
      </c>
      <c r="M25" s="10">
        <f>IF(OR(B25="",D25+E25=0),"",G25/(D25+E25))</f>
        <v/>
      </c>
      <c r="N25" s="3">
        <f>IF(OR(K25="",K25=0),"",G25/K25*10000)</f>
        <v/>
      </c>
    </row>
    <row r="26">
      <c r="A26" s="9" t="n"/>
      <c r="B26" s="8" t="n"/>
      <c r="C26">
        <f>IF(B26="","",IFERROR(VLOOKUP(B26,Accounts!$A:$D,4,FALSE),""))</f>
        <v/>
      </c>
      <c r="D26" s="8" t="n"/>
      <c r="E26" s="8" t="n"/>
      <c r="F26" s="8" t="n"/>
      <c r="G26" s="8" t="n"/>
      <c r="H26" s="8" t="n"/>
      <c r="I26" s="8" t="n"/>
      <c r="J26" s="8" t="n"/>
      <c r="K26">
        <f>IF(B26="","",SUMIFS(Videos!$F:$F,Videos!$B:$B,B26,Videos!$E:$E,A26))</f>
        <v/>
      </c>
      <c r="L26" s="3">
        <f>IF(OR(K26="",K26=0),"",(D26+E26)/K26*1000)</f>
        <v/>
      </c>
      <c r="M26" s="10">
        <f>IF(OR(B26="",D26+E26=0),"",G26/(D26+E26))</f>
        <v/>
      </c>
      <c r="N26" s="3">
        <f>IF(OR(K26="",K26=0),"",G26/K26*10000)</f>
        <v/>
      </c>
    </row>
    <row r="27">
      <c r="A27" s="9" t="n"/>
      <c r="B27" s="8" t="n"/>
      <c r="C27">
        <f>IF(B27="","",IFERROR(VLOOKUP(B27,Accounts!$A:$D,4,FALSE),""))</f>
        <v/>
      </c>
      <c r="D27" s="8" t="n"/>
      <c r="E27" s="8" t="n"/>
      <c r="F27" s="8" t="n"/>
      <c r="G27" s="8" t="n"/>
      <c r="H27" s="8" t="n"/>
      <c r="I27" s="8" t="n"/>
      <c r="J27" s="8" t="n"/>
      <c r="K27">
        <f>IF(B27="","",SUMIFS(Videos!$F:$F,Videos!$B:$B,B27,Videos!$E:$E,A27))</f>
        <v/>
      </c>
      <c r="L27" s="3">
        <f>IF(OR(K27="",K27=0),"",(D27+E27)/K27*1000)</f>
        <v/>
      </c>
      <c r="M27" s="10">
        <f>IF(OR(B27="",D27+E27=0),"",G27/(D27+E27))</f>
        <v/>
      </c>
      <c r="N27" s="3">
        <f>IF(OR(K27="",K27=0),"",G27/K27*10000)</f>
        <v/>
      </c>
    </row>
    <row r="28">
      <c r="A28" s="9" t="n"/>
      <c r="B28" s="8" t="n"/>
      <c r="C28">
        <f>IF(B28="","",IFERROR(VLOOKUP(B28,Accounts!$A:$D,4,FALSE),""))</f>
        <v/>
      </c>
      <c r="D28" s="8" t="n"/>
      <c r="E28" s="8" t="n"/>
      <c r="F28" s="8" t="n"/>
      <c r="G28" s="8" t="n"/>
      <c r="H28" s="8" t="n"/>
      <c r="I28" s="8" t="n"/>
      <c r="J28" s="8" t="n"/>
      <c r="K28">
        <f>IF(B28="","",SUMIFS(Videos!$F:$F,Videos!$B:$B,B28,Videos!$E:$E,A28))</f>
        <v/>
      </c>
      <c r="L28" s="3">
        <f>IF(OR(K28="",K28=0),"",(D28+E28)/K28*1000)</f>
        <v/>
      </c>
      <c r="M28" s="10">
        <f>IF(OR(B28="",D28+E28=0),"",G28/(D28+E28))</f>
        <v/>
      </c>
      <c r="N28" s="3">
        <f>IF(OR(K28="",K28=0),"",G28/K28*10000)</f>
        <v/>
      </c>
    </row>
    <row r="29">
      <c r="A29" s="9" t="n"/>
      <c r="B29" s="8" t="n"/>
      <c r="C29">
        <f>IF(B29="","",IFERROR(VLOOKUP(B29,Accounts!$A:$D,4,FALSE),""))</f>
        <v/>
      </c>
      <c r="D29" s="8" t="n"/>
      <c r="E29" s="8" t="n"/>
      <c r="F29" s="8" t="n"/>
      <c r="G29" s="8" t="n"/>
      <c r="H29" s="8" t="n"/>
      <c r="I29" s="8" t="n"/>
      <c r="J29" s="8" t="n"/>
      <c r="K29">
        <f>IF(B29="","",SUMIFS(Videos!$F:$F,Videos!$B:$B,B29,Videos!$E:$E,A29))</f>
        <v/>
      </c>
      <c r="L29" s="3">
        <f>IF(OR(K29="",K29=0),"",(D29+E29)/K29*1000)</f>
        <v/>
      </c>
      <c r="M29" s="10">
        <f>IF(OR(B29="",D29+E29=0),"",G29/(D29+E29))</f>
        <v/>
      </c>
      <c r="N29" s="3">
        <f>IF(OR(K29="",K29=0),"",G29/K29*10000)</f>
        <v/>
      </c>
    </row>
    <row r="30">
      <c r="A30" s="9" t="n"/>
      <c r="B30" s="8" t="n"/>
      <c r="C30">
        <f>IF(B30="","",IFERROR(VLOOKUP(B30,Accounts!$A:$D,4,FALSE),""))</f>
        <v/>
      </c>
      <c r="D30" s="8" t="n"/>
      <c r="E30" s="8" t="n"/>
      <c r="F30" s="8" t="n"/>
      <c r="G30" s="8" t="n"/>
      <c r="H30" s="8" t="n"/>
      <c r="I30" s="8" t="n"/>
      <c r="J30" s="8" t="n"/>
      <c r="K30">
        <f>IF(B30="","",SUMIFS(Videos!$F:$F,Videos!$B:$B,B30,Videos!$E:$E,A30))</f>
        <v/>
      </c>
      <c r="L30" s="3">
        <f>IF(OR(K30="",K30=0),"",(D30+E30)/K30*1000)</f>
        <v/>
      </c>
      <c r="M30" s="10">
        <f>IF(OR(B30="",D30+E30=0),"",G30/(D30+E30))</f>
        <v/>
      </c>
      <c r="N30" s="3">
        <f>IF(OR(K30="",K30=0),"",G30/K30*10000)</f>
        <v/>
      </c>
    </row>
    <row r="31">
      <c r="A31" s="9" t="n"/>
      <c r="B31" s="8" t="n"/>
      <c r="C31">
        <f>IF(B31="","",IFERROR(VLOOKUP(B31,Accounts!$A:$D,4,FALSE),""))</f>
        <v/>
      </c>
      <c r="D31" s="8" t="n"/>
      <c r="E31" s="8" t="n"/>
      <c r="F31" s="8" t="n"/>
      <c r="G31" s="8" t="n"/>
      <c r="H31" s="8" t="n"/>
      <c r="I31" s="8" t="n"/>
      <c r="J31" s="8" t="n"/>
      <c r="K31">
        <f>IF(B31="","",SUMIFS(Videos!$F:$F,Videos!$B:$B,B31,Videos!$E:$E,A31))</f>
        <v/>
      </c>
      <c r="L31" s="3">
        <f>IF(OR(K31="",K31=0),"",(D31+E31)/K31*1000)</f>
        <v/>
      </c>
      <c r="M31" s="10">
        <f>IF(OR(B31="",D31+E31=0),"",G31/(D31+E31))</f>
        <v/>
      </c>
      <c r="N31" s="3">
        <f>IF(OR(K31="",K31=0),"",G31/K31*10000)</f>
        <v/>
      </c>
    </row>
    <row r="32">
      <c r="A32" s="9" t="n"/>
      <c r="B32" s="8" t="n"/>
      <c r="C32">
        <f>IF(B32="","",IFERROR(VLOOKUP(B32,Accounts!$A:$D,4,FALSE),""))</f>
        <v/>
      </c>
      <c r="D32" s="8" t="n"/>
      <c r="E32" s="8" t="n"/>
      <c r="F32" s="8" t="n"/>
      <c r="G32" s="8" t="n"/>
      <c r="H32" s="8" t="n"/>
      <c r="I32" s="8" t="n"/>
      <c r="J32" s="8" t="n"/>
      <c r="K32">
        <f>IF(B32="","",SUMIFS(Videos!$F:$F,Videos!$B:$B,B32,Videos!$E:$E,A32))</f>
        <v/>
      </c>
      <c r="L32" s="3">
        <f>IF(OR(K32="",K32=0),"",(D32+E32)/K32*1000)</f>
        <v/>
      </c>
      <c r="M32" s="10">
        <f>IF(OR(B32="",D32+E32=0),"",G32/(D32+E32))</f>
        <v/>
      </c>
      <c r="N32" s="3">
        <f>IF(OR(K32="",K32=0),"",G32/K32*10000)</f>
        <v/>
      </c>
    </row>
    <row r="33">
      <c r="A33" s="9" t="n"/>
      <c r="B33" s="8" t="n"/>
      <c r="C33">
        <f>IF(B33="","",IFERROR(VLOOKUP(B33,Accounts!$A:$D,4,FALSE),""))</f>
        <v/>
      </c>
      <c r="D33" s="8" t="n"/>
      <c r="E33" s="8" t="n"/>
      <c r="F33" s="8" t="n"/>
      <c r="G33" s="8" t="n"/>
      <c r="H33" s="8" t="n"/>
      <c r="I33" s="8" t="n"/>
      <c r="J33" s="8" t="n"/>
      <c r="K33">
        <f>IF(B33="","",SUMIFS(Videos!$F:$F,Videos!$B:$B,B33,Videos!$E:$E,A33))</f>
        <v/>
      </c>
      <c r="L33" s="3">
        <f>IF(OR(K33="",K33=0),"",(D33+E33)/K33*1000)</f>
        <v/>
      </c>
      <c r="M33" s="10">
        <f>IF(OR(B33="",D33+E33=0),"",G33/(D33+E33))</f>
        <v/>
      </c>
      <c r="N33" s="3">
        <f>IF(OR(K33="",K33=0),"",G33/K33*10000)</f>
        <v/>
      </c>
    </row>
    <row r="34">
      <c r="A34" s="9" t="n"/>
      <c r="B34" s="8" t="n"/>
      <c r="C34">
        <f>IF(B34="","",IFERROR(VLOOKUP(B34,Accounts!$A:$D,4,FALSE),""))</f>
        <v/>
      </c>
      <c r="D34" s="8" t="n"/>
      <c r="E34" s="8" t="n"/>
      <c r="F34" s="8" t="n"/>
      <c r="G34" s="8" t="n"/>
      <c r="H34" s="8" t="n"/>
      <c r="I34" s="8" t="n"/>
      <c r="J34" s="8" t="n"/>
      <c r="K34">
        <f>IF(B34="","",SUMIFS(Videos!$F:$F,Videos!$B:$B,B34,Videos!$E:$E,A34))</f>
        <v/>
      </c>
      <c r="L34" s="3">
        <f>IF(OR(K34="",K34=0),"",(D34+E34)/K34*1000)</f>
        <v/>
      </c>
      <c r="M34" s="10">
        <f>IF(OR(B34="",D34+E34=0),"",G34/(D34+E34))</f>
        <v/>
      </c>
      <c r="N34" s="3">
        <f>IF(OR(K34="",K34=0),"",G34/K34*10000)</f>
        <v/>
      </c>
    </row>
    <row r="35">
      <c r="A35" s="9" t="n"/>
      <c r="B35" s="8" t="n"/>
      <c r="C35">
        <f>IF(B35="","",IFERROR(VLOOKUP(B35,Accounts!$A:$D,4,FALSE),""))</f>
        <v/>
      </c>
      <c r="D35" s="8" t="n"/>
      <c r="E35" s="8" t="n"/>
      <c r="F35" s="8" t="n"/>
      <c r="G35" s="8" t="n"/>
      <c r="H35" s="8" t="n"/>
      <c r="I35" s="8" t="n"/>
      <c r="J35" s="8" t="n"/>
      <c r="K35">
        <f>IF(B35="","",SUMIFS(Videos!$F:$F,Videos!$B:$B,B35,Videos!$E:$E,A35))</f>
        <v/>
      </c>
      <c r="L35" s="3">
        <f>IF(OR(K35="",K35=0),"",(D35+E35)/K35*1000)</f>
        <v/>
      </c>
      <c r="M35" s="10">
        <f>IF(OR(B35="",D35+E35=0),"",G35/(D35+E35))</f>
        <v/>
      </c>
      <c r="N35" s="3">
        <f>IF(OR(K35="",K35=0),"",G35/K35*10000)</f>
        <v/>
      </c>
    </row>
    <row r="36">
      <c r="A36" s="9" t="n"/>
      <c r="B36" s="8" t="n"/>
      <c r="C36">
        <f>IF(B36="","",IFERROR(VLOOKUP(B36,Accounts!$A:$D,4,FALSE),""))</f>
        <v/>
      </c>
      <c r="D36" s="8" t="n"/>
      <c r="E36" s="8" t="n"/>
      <c r="F36" s="8" t="n"/>
      <c r="G36" s="8" t="n"/>
      <c r="H36" s="8" t="n"/>
      <c r="I36" s="8" t="n"/>
      <c r="J36" s="8" t="n"/>
      <c r="K36">
        <f>IF(B36="","",SUMIFS(Videos!$F:$F,Videos!$B:$B,B36,Videos!$E:$E,A36))</f>
        <v/>
      </c>
      <c r="L36" s="3">
        <f>IF(OR(K36="",K36=0),"",(D36+E36)/K36*1000)</f>
        <v/>
      </c>
      <c r="M36" s="10">
        <f>IF(OR(B36="",D36+E36=0),"",G36/(D36+E36))</f>
        <v/>
      </c>
      <c r="N36" s="3">
        <f>IF(OR(K36="",K36=0),"",G36/K36*10000)</f>
        <v/>
      </c>
    </row>
    <row r="37">
      <c r="A37" s="9" t="n"/>
      <c r="B37" s="8" t="n"/>
      <c r="C37">
        <f>IF(B37="","",IFERROR(VLOOKUP(B37,Accounts!$A:$D,4,FALSE),""))</f>
        <v/>
      </c>
      <c r="D37" s="8" t="n"/>
      <c r="E37" s="8" t="n"/>
      <c r="F37" s="8" t="n"/>
      <c r="G37" s="8" t="n"/>
      <c r="H37" s="8" t="n"/>
      <c r="I37" s="8" t="n"/>
      <c r="J37" s="8" t="n"/>
      <c r="K37">
        <f>IF(B37="","",SUMIFS(Videos!$F:$F,Videos!$B:$B,B37,Videos!$E:$E,A37))</f>
        <v/>
      </c>
      <c r="L37" s="3">
        <f>IF(OR(K37="",K37=0),"",(D37+E37)/K37*1000)</f>
        <v/>
      </c>
      <c r="M37" s="10">
        <f>IF(OR(B37="",D37+E37=0),"",G37/(D37+E37))</f>
        <v/>
      </c>
      <c r="N37" s="3">
        <f>IF(OR(K37="",K37=0),"",G37/K37*10000)</f>
        <v/>
      </c>
    </row>
    <row r="38">
      <c r="A38" s="9" t="n"/>
      <c r="B38" s="8" t="n"/>
      <c r="C38">
        <f>IF(B38="","",IFERROR(VLOOKUP(B38,Accounts!$A:$D,4,FALSE),""))</f>
        <v/>
      </c>
      <c r="D38" s="8" t="n"/>
      <c r="E38" s="8" t="n"/>
      <c r="F38" s="8" t="n"/>
      <c r="G38" s="8" t="n"/>
      <c r="H38" s="8" t="n"/>
      <c r="I38" s="8" t="n"/>
      <c r="J38" s="8" t="n"/>
      <c r="K38">
        <f>IF(B38="","",SUMIFS(Videos!$F:$F,Videos!$B:$B,B38,Videos!$E:$E,A38))</f>
        <v/>
      </c>
      <c r="L38" s="3">
        <f>IF(OR(K38="",K38=0),"",(D38+E38)/K38*1000)</f>
        <v/>
      </c>
      <c r="M38" s="10">
        <f>IF(OR(B38="",D38+E38=0),"",G38/(D38+E38))</f>
        <v/>
      </c>
      <c r="N38" s="3">
        <f>IF(OR(K38="",K38=0),"",G38/K38*10000)</f>
        <v/>
      </c>
    </row>
    <row r="39">
      <c r="A39" s="9" t="n"/>
      <c r="B39" s="8" t="n"/>
      <c r="C39">
        <f>IF(B39="","",IFERROR(VLOOKUP(B39,Accounts!$A:$D,4,FALSE),""))</f>
        <v/>
      </c>
      <c r="D39" s="8" t="n"/>
      <c r="E39" s="8" t="n"/>
      <c r="F39" s="8" t="n"/>
      <c r="G39" s="8" t="n"/>
      <c r="H39" s="8" t="n"/>
      <c r="I39" s="8" t="n"/>
      <c r="J39" s="8" t="n"/>
      <c r="K39">
        <f>IF(B39="","",SUMIFS(Videos!$F:$F,Videos!$B:$B,B39,Videos!$E:$E,A39))</f>
        <v/>
      </c>
      <c r="L39" s="3">
        <f>IF(OR(K39="",K39=0),"",(D39+E39)/K39*1000)</f>
        <v/>
      </c>
      <c r="M39" s="10">
        <f>IF(OR(B39="",D39+E39=0),"",G39/(D39+E39))</f>
        <v/>
      </c>
      <c r="N39" s="3">
        <f>IF(OR(K39="",K39=0),"",G39/K39*10000)</f>
        <v/>
      </c>
    </row>
    <row r="40">
      <c r="A40" s="9" t="n"/>
      <c r="B40" s="8" t="n"/>
      <c r="C40">
        <f>IF(B40="","",IFERROR(VLOOKUP(B40,Accounts!$A:$D,4,FALSE),""))</f>
        <v/>
      </c>
      <c r="D40" s="8" t="n"/>
      <c r="E40" s="8" t="n"/>
      <c r="F40" s="8" t="n"/>
      <c r="G40" s="8" t="n"/>
      <c r="H40" s="8" t="n"/>
      <c r="I40" s="8" t="n"/>
      <c r="J40" s="8" t="n"/>
      <c r="K40">
        <f>IF(B40="","",SUMIFS(Videos!$F:$F,Videos!$B:$B,B40,Videos!$E:$E,A40))</f>
        <v/>
      </c>
      <c r="L40" s="3">
        <f>IF(OR(K40="",K40=0),"",(D40+E40)/K40*1000)</f>
        <v/>
      </c>
      <c r="M40" s="10">
        <f>IF(OR(B40="",D40+E40=0),"",G40/(D40+E40))</f>
        <v/>
      </c>
      <c r="N40" s="3">
        <f>IF(OR(K40="",K40=0),"",G40/K40*10000)</f>
        <v/>
      </c>
    </row>
    <row r="41">
      <c r="A41" s="9" t="n"/>
      <c r="B41" s="8" t="n"/>
      <c r="C41">
        <f>IF(B41="","",IFERROR(VLOOKUP(B41,Accounts!$A:$D,4,FALSE),""))</f>
        <v/>
      </c>
      <c r="D41" s="8" t="n"/>
      <c r="E41" s="8" t="n"/>
      <c r="F41" s="8" t="n"/>
      <c r="G41" s="8" t="n"/>
      <c r="H41" s="8" t="n"/>
      <c r="I41" s="8" t="n"/>
      <c r="J41" s="8" t="n"/>
      <c r="K41">
        <f>IF(B41="","",SUMIFS(Videos!$F:$F,Videos!$B:$B,B41,Videos!$E:$E,A41))</f>
        <v/>
      </c>
      <c r="L41" s="3">
        <f>IF(OR(K41="",K41=0),"",(D41+E41)/K41*1000)</f>
        <v/>
      </c>
      <c r="M41" s="10">
        <f>IF(OR(B41="",D41+E41=0),"",G41/(D41+E41))</f>
        <v/>
      </c>
      <c r="N41" s="3">
        <f>IF(OR(K41="",K41=0),"",G41/K41*10000)</f>
        <v/>
      </c>
    </row>
    <row r="42">
      <c r="A42" s="9" t="n"/>
      <c r="B42" s="8" t="n"/>
      <c r="C42">
        <f>IF(B42="","",IFERROR(VLOOKUP(B42,Accounts!$A:$D,4,FALSE),""))</f>
        <v/>
      </c>
      <c r="D42" s="8" t="n"/>
      <c r="E42" s="8" t="n"/>
      <c r="F42" s="8" t="n"/>
      <c r="G42" s="8" t="n"/>
      <c r="H42" s="8" t="n"/>
      <c r="I42" s="8" t="n"/>
      <c r="J42" s="8" t="n"/>
      <c r="K42">
        <f>IF(B42="","",SUMIFS(Videos!$F:$F,Videos!$B:$B,B42,Videos!$E:$E,A42))</f>
        <v/>
      </c>
      <c r="L42" s="3">
        <f>IF(OR(K42="",K42=0),"",(D42+E42)/K42*1000)</f>
        <v/>
      </c>
      <c r="M42" s="10">
        <f>IF(OR(B42="",D42+E42=0),"",G42/(D42+E42))</f>
        <v/>
      </c>
      <c r="N42" s="3">
        <f>IF(OR(K42="",K42=0),"",G42/K42*10000)</f>
        <v/>
      </c>
    </row>
    <row r="43">
      <c r="A43" s="9" t="n"/>
      <c r="B43" s="8" t="n"/>
      <c r="C43">
        <f>IF(B43="","",IFERROR(VLOOKUP(B43,Accounts!$A:$D,4,FALSE),""))</f>
        <v/>
      </c>
      <c r="D43" s="8" t="n"/>
      <c r="E43" s="8" t="n"/>
      <c r="F43" s="8" t="n"/>
      <c r="G43" s="8" t="n"/>
      <c r="H43" s="8" t="n"/>
      <c r="I43" s="8" t="n"/>
      <c r="J43" s="8" t="n"/>
      <c r="K43">
        <f>IF(B43="","",SUMIFS(Videos!$F:$F,Videos!$B:$B,B43,Videos!$E:$E,A43))</f>
        <v/>
      </c>
      <c r="L43" s="3">
        <f>IF(OR(K43="",K43=0),"",(D43+E43)/K43*1000)</f>
        <v/>
      </c>
      <c r="M43" s="10">
        <f>IF(OR(B43="",D43+E43=0),"",G43/(D43+E43))</f>
        <v/>
      </c>
      <c r="N43" s="3">
        <f>IF(OR(K43="",K43=0),"",G43/K43*10000)</f>
        <v/>
      </c>
    </row>
    <row r="44">
      <c r="A44" s="9" t="n"/>
      <c r="B44" s="8" t="n"/>
      <c r="C44">
        <f>IF(B44="","",IFERROR(VLOOKUP(B44,Accounts!$A:$D,4,FALSE),""))</f>
        <v/>
      </c>
      <c r="D44" s="8" t="n"/>
      <c r="E44" s="8" t="n"/>
      <c r="F44" s="8" t="n"/>
      <c r="G44" s="8" t="n"/>
      <c r="H44" s="8" t="n"/>
      <c r="I44" s="8" t="n"/>
      <c r="J44" s="8" t="n"/>
      <c r="K44">
        <f>IF(B44="","",SUMIFS(Videos!$F:$F,Videos!$B:$B,B44,Videos!$E:$E,A44))</f>
        <v/>
      </c>
      <c r="L44" s="3">
        <f>IF(OR(K44="",K44=0),"",(D44+E44)/K44*1000)</f>
        <v/>
      </c>
      <c r="M44" s="10">
        <f>IF(OR(B44="",D44+E44=0),"",G44/(D44+E44))</f>
        <v/>
      </c>
      <c r="N44" s="3">
        <f>IF(OR(K44="",K44=0),"",G44/K44*10000)</f>
        <v/>
      </c>
    </row>
    <row r="45">
      <c r="A45" s="9" t="n"/>
      <c r="B45" s="8" t="n"/>
      <c r="C45">
        <f>IF(B45="","",IFERROR(VLOOKUP(B45,Accounts!$A:$D,4,FALSE),""))</f>
        <v/>
      </c>
      <c r="D45" s="8" t="n"/>
      <c r="E45" s="8" t="n"/>
      <c r="F45" s="8" t="n"/>
      <c r="G45" s="8" t="n"/>
      <c r="H45" s="8" t="n"/>
      <c r="I45" s="8" t="n"/>
      <c r="J45" s="8" t="n"/>
      <c r="K45">
        <f>IF(B45="","",SUMIFS(Videos!$F:$F,Videos!$B:$B,B45,Videos!$E:$E,A45))</f>
        <v/>
      </c>
      <c r="L45" s="3">
        <f>IF(OR(K45="",K45=0),"",(D45+E45)/K45*1000)</f>
        <v/>
      </c>
      <c r="M45" s="10">
        <f>IF(OR(B45="",D45+E45=0),"",G45/(D45+E45))</f>
        <v/>
      </c>
      <c r="N45" s="3">
        <f>IF(OR(K45="",K45=0),"",G45/K45*10000)</f>
        <v/>
      </c>
    </row>
    <row r="46">
      <c r="A46" s="9" t="n"/>
      <c r="B46" s="8" t="n"/>
      <c r="C46">
        <f>IF(B46="","",IFERROR(VLOOKUP(B46,Accounts!$A:$D,4,FALSE),""))</f>
        <v/>
      </c>
      <c r="D46" s="8" t="n"/>
      <c r="E46" s="8" t="n"/>
      <c r="F46" s="8" t="n"/>
      <c r="G46" s="8" t="n"/>
      <c r="H46" s="8" t="n"/>
      <c r="I46" s="8" t="n"/>
      <c r="J46" s="8" t="n"/>
      <c r="K46">
        <f>IF(B46="","",SUMIFS(Videos!$F:$F,Videos!$B:$B,B46,Videos!$E:$E,A46))</f>
        <v/>
      </c>
      <c r="L46" s="3">
        <f>IF(OR(K46="",K46=0),"",(D46+E46)/K46*1000)</f>
        <v/>
      </c>
      <c r="M46" s="10">
        <f>IF(OR(B46="",D46+E46=0),"",G46/(D46+E46))</f>
        <v/>
      </c>
      <c r="N46" s="3">
        <f>IF(OR(K46="",K46=0),"",G46/K46*10000)</f>
        <v/>
      </c>
    </row>
    <row r="47">
      <c r="A47" s="9" t="n"/>
      <c r="B47" s="8" t="n"/>
      <c r="C47">
        <f>IF(B47="","",IFERROR(VLOOKUP(B47,Accounts!$A:$D,4,FALSE),""))</f>
        <v/>
      </c>
      <c r="D47" s="8" t="n"/>
      <c r="E47" s="8" t="n"/>
      <c r="F47" s="8" t="n"/>
      <c r="G47" s="8" t="n"/>
      <c r="H47" s="8" t="n"/>
      <c r="I47" s="8" t="n"/>
      <c r="J47" s="8" t="n"/>
      <c r="K47">
        <f>IF(B47="","",SUMIFS(Videos!$F:$F,Videos!$B:$B,B47,Videos!$E:$E,A47))</f>
        <v/>
      </c>
      <c r="L47" s="3">
        <f>IF(OR(K47="",K47=0),"",(D47+E47)/K47*1000)</f>
        <v/>
      </c>
      <c r="M47" s="10">
        <f>IF(OR(B47="",D47+E47=0),"",G47/(D47+E47))</f>
        <v/>
      </c>
      <c r="N47" s="3">
        <f>IF(OR(K47="",K47=0),"",G47/K47*10000)</f>
        <v/>
      </c>
    </row>
    <row r="48">
      <c r="A48" s="9" t="n"/>
      <c r="B48" s="8" t="n"/>
      <c r="C48">
        <f>IF(B48="","",IFERROR(VLOOKUP(B48,Accounts!$A:$D,4,FALSE),""))</f>
        <v/>
      </c>
      <c r="D48" s="8" t="n"/>
      <c r="E48" s="8" t="n"/>
      <c r="F48" s="8" t="n"/>
      <c r="G48" s="8" t="n"/>
      <c r="H48" s="8" t="n"/>
      <c r="I48" s="8" t="n"/>
      <c r="J48" s="8" t="n"/>
      <c r="K48">
        <f>IF(B48="","",SUMIFS(Videos!$F:$F,Videos!$B:$B,B48,Videos!$E:$E,A48))</f>
        <v/>
      </c>
      <c r="L48" s="3">
        <f>IF(OR(K48="",K48=0),"",(D48+E48)/K48*1000)</f>
        <v/>
      </c>
      <c r="M48" s="10">
        <f>IF(OR(B48="",D48+E48=0),"",G48/(D48+E48))</f>
        <v/>
      </c>
      <c r="N48" s="3">
        <f>IF(OR(K48="",K48=0),"",G48/K48*10000)</f>
        <v/>
      </c>
    </row>
    <row r="49">
      <c r="A49" s="9" t="n"/>
      <c r="B49" s="8" t="n"/>
      <c r="C49">
        <f>IF(B49="","",IFERROR(VLOOKUP(B49,Accounts!$A:$D,4,FALSE),""))</f>
        <v/>
      </c>
      <c r="D49" s="8" t="n"/>
      <c r="E49" s="8" t="n"/>
      <c r="F49" s="8" t="n"/>
      <c r="G49" s="8" t="n"/>
      <c r="H49" s="8" t="n"/>
      <c r="I49" s="8" t="n"/>
      <c r="J49" s="8" t="n"/>
      <c r="K49">
        <f>IF(B49="","",SUMIFS(Videos!$F:$F,Videos!$B:$B,B49,Videos!$E:$E,A49))</f>
        <v/>
      </c>
      <c r="L49" s="3">
        <f>IF(OR(K49="",K49=0),"",(D49+E49)/K49*1000)</f>
        <v/>
      </c>
      <c r="M49" s="10">
        <f>IF(OR(B49="",D49+E49=0),"",G49/(D49+E49))</f>
        <v/>
      </c>
      <c r="N49" s="3">
        <f>IF(OR(K49="",K49=0),"",G49/K49*10000)</f>
        <v/>
      </c>
    </row>
    <row r="50">
      <c r="A50" s="9" t="n"/>
      <c r="B50" s="8" t="n"/>
      <c r="C50">
        <f>IF(B50="","",IFERROR(VLOOKUP(B50,Accounts!$A:$D,4,FALSE),""))</f>
        <v/>
      </c>
      <c r="D50" s="8" t="n"/>
      <c r="E50" s="8" t="n"/>
      <c r="F50" s="8" t="n"/>
      <c r="G50" s="8" t="n"/>
      <c r="H50" s="8" t="n"/>
      <c r="I50" s="8" t="n"/>
      <c r="J50" s="8" t="n"/>
      <c r="K50">
        <f>IF(B50="","",SUMIFS(Videos!$F:$F,Videos!$B:$B,B50,Videos!$E:$E,A50))</f>
        <v/>
      </c>
      <c r="L50" s="3">
        <f>IF(OR(K50="",K50=0),"",(D50+E50)/K50*1000)</f>
        <v/>
      </c>
      <c r="M50" s="10">
        <f>IF(OR(B50="",D50+E50=0),"",G50/(D50+E50))</f>
        <v/>
      </c>
      <c r="N50" s="3">
        <f>IF(OR(K50="",K50=0),"",G50/K50*10000)</f>
        <v/>
      </c>
    </row>
    <row r="51">
      <c r="A51" s="9" t="n"/>
      <c r="B51" s="8" t="n"/>
      <c r="C51">
        <f>IF(B51="","",IFERROR(VLOOKUP(B51,Accounts!$A:$D,4,FALSE),""))</f>
        <v/>
      </c>
      <c r="D51" s="8" t="n"/>
      <c r="E51" s="8" t="n"/>
      <c r="F51" s="8" t="n"/>
      <c r="G51" s="8" t="n"/>
      <c r="H51" s="8" t="n"/>
      <c r="I51" s="8" t="n"/>
      <c r="J51" s="8" t="n"/>
      <c r="K51">
        <f>IF(B51="","",SUMIFS(Videos!$F:$F,Videos!$B:$B,B51,Videos!$E:$E,A51))</f>
        <v/>
      </c>
      <c r="L51" s="3">
        <f>IF(OR(K51="",K51=0),"",(D51+E51)/K51*1000)</f>
        <v/>
      </c>
      <c r="M51" s="10">
        <f>IF(OR(B51="",D51+E51=0),"",G51/(D51+E51))</f>
        <v/>
      </c>
      <c r="N51" s="3">
        <f>IF(OR(K51="",K51=0),"",G51/K51*10000)</f>
        <v/>
      </c>
    </row>
    <row r="52">
      <c r="A52" s="9" t="n"/>
      <c r="B52" s="8" t="n"/>
      <c r="C52">
        <f>IF(B52="","",IFERROR(VLOOKUP(B52,Accounts!$A:$D,4,FALSE),""))</f>
        <v/>
      </c>
      <c r="D52" s="8" t="n"/>
      <c r="E52" s="8" t="n"/>
      <c r="F52" s="8" t="n"/>
      <c r="G52" s="8" t="n"/>
      <c r="H52" s="8" t="n"/>
      <c r="I52" s="8" t="n"/>
      <c r="J52" s="8" t="n"/>
      <c r="K52">
        <f>IF(B52="","",SUMIFS(Videos!$F:$F,Videos!$B:$B,B52,Videos!$E:$E,A52))</f>
        <v/>
      </c>
      <c r="L52" s="3">
        <f>IF(OR(K52="",K52=0),"",(D52+E52)/K52*1000)</f>
        <v/>
      </c>
      <c r="M52" s="10">
        <f>IF(OR(B52="",D52+E52=0),"",G52/(D52+E52))</f>
        <v/>
      </c>
      <c r="N52" s="3">
        <f>IF(OR(K52="",K52=0),"",G52/K52*10000)</f>
        <v/>
      </c>
    </row>
    <row r="53">
      <c r="A53" s="9" t="n"/>
      <c r="B53" s="8" t="n"/>
      <c r="C53">
        <f>IF(B53="","",IFERROR(VLOOKUP(B53,Accounts!$A:$D,4,FALSE),""))</f>
        <v/>
      </c>
      <c r="D53" s="8" t="n"/>
      <c r="E53" s="8" t="n"/>
      <c r="F53" s="8" t="n"/>
      <c r="G53" s="8" t="n"/>
      <c r="H53" s="8" t="n"/>
      <c r="I53" s="8" t="n"/>
      <c r="J53" s="8" t="n"/>
      <c r="K53">
        <f>IF(B53="","",SUMIFS(Videos!$F:$F,Videos!$B:$B,B53,Videos!$E:$E,A53))</f>
        <v/>
      </c>
      <c r="L53" s="3">
        <f>IF(OR(K53="",K53=0),"",(D53+E53)/K53*1000)</f>
        <v/>
      </c>
      <c r="M53" s="10">
        <f>IF(OR(B53="",D53+E53=0),"",G53/(D53+E53))</f>
        <v/>
      </c>
      <c r="N53" s="3">
        <f>IF(OR(K53="",K53=0),"",G53/K53*10000)</f>
        <v/>
      </c>
    </row>
    <row r="54">
      <c r="A54" s="9" t="n"/>
      <c r="B54" s="8" t="n"/>
      <c r="C54">
        <f>IF(B54="","",IFERROR(VLOOKUP(B54,Accounts!$A:$D,4,FALSE),""))</f>
        <v/>
      </c>
      <c r="D54" s="8" t="n"/>
      <c r="E54" s="8" t="n"/>
      <c r="F54" s="8" t="n"/>
      <c r="G54" s="8" t="n"/>
      <c r="H54" s="8" t="n"/>
      <c r="I54" s="8" t="n"/>
      <c r="J54" s="8" t="n"/>
      <c r="K54">
        <f>IF(B54="","",SUMIFS(Videos!$F:$F,Videos!$B:$B,B54,Videos!$E:$E,A54))</f>
        <v/>
      </c>
      <c r="L54" s="3">
        <f>IF(OR(K54="",K54=0),"",(D54+E54)/K54*1000)</f>
        <v/>
      </c>
      <c r="M54" s="10">
        <f>IF(OR(B54="",D54+E54=0),"",G54/(D54+E54))</f>
        <v/>
      </c>
      <c r="N54" s="3">
        <f>IF(OR(K54="",K54=0),"",G54/K54*10000)</f>
        <v/>
      </c>
    </row>
    <row r="55">
      <c r="A55" s="9" t="n"/>
      <c r="B55" s="8" t="n"/>
      <c r="C55">
        <f>IF(B55="","",IFERROR(VLOOKUP(B55,Accounts!$A:$D,4,FALSE),""))</f>
        <v/>
      </c>
      <c r="D55" s="8" t="n"/>
      <c r="E55" s="8" t="n"/>
      <c r="F55" s="8" t="n"/>
      <c r="G55" s="8" t="n"/>
      <c r="H55" s="8" t="n"/>
      <c r="I55" s="8" t="n"/>
      <c r="J55" s="8" t="n"/>
      <c r="K55">
        <f>IF(B55="","",SUMIFS(Videos!$F:$F,Videos!$B:$B,B55,Videos!$E:$E,A55))</f>
        <v/>
      </c>
      <c r="L55" s="3">
        <f>IF(OR(K55="",K55=0),"",(D55+E55)/K55*1000)</f>
        <v/>
      </c>
      <c r="M55" s="10">
        <f>IF(OR(B55="",D55+E55=0),"",G55/(D55+E55))</f>
        <v/>
      </c>
      <c r="N55" s="3">
        <f>IF(OR(K55="",K55=0),"",G55/K55*10000)</f>
        <v/>
      </c>
    </row>
    <row r="56">
      <c r="A56" s="9" t="n"/>
      <c r="B56" s="8" t="n"/>
      <c r="C56">
        <f>IF(B56="","",IFERROR(VLOOKUP(B56,Accounts!$A:$D,4,FALSE),""))</f>
        <v/>
      </c>
      <c r="D56" s="8" t="n"/>
      <c r="E56" s="8" t="n"/>
      <c r="F56" s="8" t="n"/>
      <c r="G56" s="8" t="n"/>
      <c r="H56" s="8" t="n"/>
      <c r="I56" s="8" t="n"/>
      <c r="J56" s="8" t="n"/>
      <c r="K56">
        <f>IF(B56="","",SUMIFS(Videos!$F:$F,Videos!$B:$B,B56,Videos!$E:$E,A56))</f>
        <v/>
      </c>
      <c r="L56" s="3">
        <f>IF(OR(K56="",K56=0),"",(D56+E56)/K56*1000)</f>
        <v/>
      </c>
      <c r="M56" s="10">
        <f>IF(OR(B56="",D56+E56=0),"",G56/(D56+E56))</f>
        <v/>
      </c>
      <c r="N56" s="3">
        <f>IF(OR(K56="",K56=0),"",G56/K56*10000)</f>
        <v/>
      </c>
    </row>
    <row r="57">
      <c r="A57" s="9" t="n"/>
      <c r="B57" s="8" t="n"/>
      <c r="C57">
        <f>IF(B57="","",IFERROR(VLOOKUP(B57,Accounts!$A:$D,4,FALSE),""))</f>
        <v/>
      </c>
      <c r="D57" s="8" t="n"/>
      <c r="E57" s="8" t="n"/>
      <c r="F57" s="8" t="n"/>
      <c r="G57" s="8" t="n"/>
      <c r="H57" s="8" t="n"/>
      <c r="I57" s="8" t="n"/>
      <c r="J57" s="8" t="n"/>
      <c r="K57">
        <f>IF(B57="","",SUMIFS(Videos!$F:$F,Videos!$B:$B,B57,Videos!$E:$E,A57))</f>
        <v/>
      </c>
      <c r="L57" s="3">
        <f>IF(OR(K57="",K57=0),"",(D57+E57)/K57*1000)</f>
        <v/>
      </c>
      <c r="M57" s="10">
        <f>IF(OR(B57="",D57+E57=0),"",G57/(D57+E57))</f>
        <v/>
      </c>
      <c r="N57" s="3">
        <f>IF(OR(K57="",K57=0),"",G57/K57*10000)</f>
        <v/>
      </c>
    </row>
    <row r="58">
      <c r="A58" s="9" t="n"/>
      <c r="B58" s="8" t="n"/>
      <c r="C58">
        <f>IF(B58="","",IFERROR(VLOOKUP(B58,Accounts!$A:$D,4,FALSE),""))</f>
        <v/>
      </c>
      <c r="D58" s="8" t="n"/>
      <c r="E58" s="8" t="n"/>
      <c r="F58" s="8" t="n"/>
      <c r="G58" s="8" t="n"/>
      <c r="H58" s="8" t="n"/>
      <c r="I58" s="8" t="n"/>
      <c r="J58" s="8" t="n"/>
      <c r="K58">
        <f>IF(B58="","",SUMIFS(Videos!$F:$F,Videos!$B:$B,B58,Videos!$E:$E,A58))</f>
        <v/>
      </c>
      <c r="L58" s="3">
        <f>IF(OR(K58="",K58=0),"",(D58+E58)/K58*1000)</f>
        <v/>
      </c>
      <c r="M58" s="10">
        <f>IF(OR(B58="",D58+E58=0),"",G58/(D58+E58))</f>
        <v/>
      </c>
      <c r="N58" s="3">
        <f>IF(OR(K58="",K58=0),"",G58/K58*10000)</f>
        <v/>
      </c>
    </row>
    <row r="59">
      <c r="A59" s="9" t="n"/>
      <c r="B59" s="8" t="n"/>
      <c r="C59">
        <f>IF(B59="","",IFERROR(VLOOKUP(B59,Accounts!$A:$D,4,FALSE),""))</f>
        <v/>
      </c>
      <c r="D59" s="8" t="n"/>
      <c r="E59" s="8" t="n"/>
      <c r="F59" s="8" t="n"/>
      <c r="G59" s="8" t="n"/>
      <c r="H59" s="8" t="n"/>
      <c r="I59" s="8" t="n"/>
      <c r="J59" s="8" t="n"/>
      <c r="K59">
        <f>IF(B59="","",SUMIFS(Videos!$F:$F,Videos!$B:$B,B59,Videos!$E:$E,A59))</f>
        <v/>
      </c>
      <c r="L59" s="3">
        <f>IF(OR(K59="",K59=0),"",(D59+E59)/K59*1000)</f>
        <v/>
      </c>
      <c r="M59" s="10">
        <f>IF(OR(B59="",D59+E59=0),"",G59/(D59+E59))</f>
        <v/>
      </c>
      <c r="N59" s="3">
        <f>IF(OR(K59="",K59=0),"",G59/K59*10000)</f>
        <v/>
      </c>
    </row>
    <row r="60">
      <c r="A60" s="9" t="n"/>
      <c r="B60" s="8" t="n"/>
      <c r="C60">
        <f>IF(B60="","",IFERROR(VLOOKUP(B60,Accounts!$A:$D,4,FALSE),""))</f>
        <v/>
      </c>
      <c r="D60" s="8" t="n"/>
      <c r="E60" s="8" t="n"/>
      <c r="F60" s="8" t="n"/>
      <c r="G60" s="8" t="n"/>
      <c r="H60" s="8" t="n"/>
      <c r="I60" s="8" t="n"/>
      <c r="J60" s="8" t="n"/>
      <c r="K60">
        <f>IF(B60="","",SUMIFS(Videos!$F:$F,Videos!$B:$B,B60,Videos!$E:$E,A60))</f>
        <v/>
      </c>
      <c r="L60" s="3">
        <f>IF(OR(K60="",K60=0),"",(D60+E60)/K60*1000)</f>
        <v/>
      </c>
      <c r="M60" s="10">
        <f>IF(OR(B60="",D60+E60=0),"",G60/(D60+E60))</f>
        <v/>
      </c>
      <c r="N60" s="3">
        <f>IF(OR(K60="",K60=0),"",G60/K60*10000)</f>
        <v/>
      </c>
    </row>
    <row r="61">
      <c r="A61" s="9" t="n"/>
      <c r="B61" s="8" t="n"/>
      <c r="C61">
        <f>IF(B61="","",IFERROR(VLOOKUP(B61,Accounts!$A:$D,4,FALSE),""))</f>
        <v/>
      </c>
      <c r="D61" s="8" t="n"/>
      <c r="E61" s="8" t="n"/>
      <c r="F61" s="8" t="n"/>
      <c r="G61" s="8" t="n"/>
      <c r="H61" s="8" t="n"/>
      <c r="I61" s="8" t="n"/>
      <c r="J61" s="8" t="n"/>
      <c r="K61">
        <f>IF(B61="","",SUMIFS(Videos!$F:$F,Videos!$B:$B,B61,Videos!$E:$E,A61))</f>
        <v/>
      </c>
      <c r="L61" s="3">
        <f>IF(OR(K61="",K61=0),"",(D61+E61)/K61*1000)</f>
        <v/>
      </c>
      <c r="M61" s="10">
        <f>IF(OR(B61="",D61+E61=0),"",G61/(D61+E61))</f>
        <v/>
      </c>
      <c r="N61" s="3">
        <f>IF(OR(K61="",K61=0),"",G61/K61*10000)</f>
        <v/>
      </c>
    </row>
    <row r="62">
      <c r="A62" s="9" t="n"/>
      <c r="B62" s="8" t="n"/>
      <c r="C62">
        <f>IF(B62="","",IFERROR(VLOOKUP(B62,Accounts!$A:$D,4,FALSE),""))</f>
        <v/>
      </c>
      <c r="D62" s="8" t="n"/>
      <c r="E62" s="8" t="n"/>
      <c r="F62" s="8" t="n"/>
      <c r="G62" s="8" t="n"/>
      <c r="H62" s="8" t="n"/>
      <c r="I62" s="8" t="n"/>
      <c r="J62" s="8" t="n"/>
      <c r="K62">
        <f>IF(B62="","",SUMIFS(Videos!$F:$F,Videos!$B:$B,B62,Videos!$E:$E,A62))</f>
        <v/>
      </c>
      <c r="L62" s="3">
        <f>IF(OR(K62="",K62=0),"",(D62+E62)/K62*1000)</f>
        <v/>
      </c>
      <c r="M62" s="10">
        <f>IF(OR(B62="",D62+E62=0),"",G62/(D62+E62))</f>
        <v/>
      </c>
      <c r="N62" s="3">
        <f>IF(OR(K62="",K62=0),"",G62/K62*10000)</f>
        <v/>
      </c>
    </row>
    <row r="63">
      <c r="A63" s="9" t="n"/>
      <c r="B63" s="8" t="n"/>
      <c r="C63">
        <f>IF(B63="","",IFERROR(VLOOKUP(B63,Accounts!$A:$D,4,FALSE),""))</f>
        <v/>
      </c>
      <c r="D63" s="8" t="n"/>
      <c r="E63" s="8" t="n"/>
      <c r="F63" s="8" t="n"/>
      <c r="G63" s="8" t="n"/>
      <c r="H63" s="8" t="n"/>
      <c r="I63" s="8" t="n"/>
      <c r="J63" s="8" t="n"/>
      <c r="K63">
        <f>IF(B63="","",SUMIFS(Videos!$F:$F,Videos!$B:$B,B63,Videos!$E:$E,A63))</f>
        <v/>
      </c>
      <c r="L63" s="3">
        <f>IF(OR(K63="",K63=0),"",(D63+E63)/K63*1000)</f>
        <v/>
      </c>
      <c r="M63" s="10">
        <f>IF(OR(B63="",D63+E63=0),"",G63/(D63+E63))</f>
        <v/>
      </c>
      <c r="N63" s="3">
        <f>IF(OR(K63="",K63=0),"",G63/K63*10000)</f>
        <v/>
      </c>
    </row>
    <row r="64">
      <c r="A64" s="9" t="n"/>
      <c r="B64" s="8" t="n"/>
      <c r="C64">
        <f>IF(B64="","",IFERROR(VLOOKUP(B64,Accounts!$A:$D,4,FALSE),""))</f>
        <v/>
      </c>
      <c r="D64" s="8" t="n"/>
      <c r="E64" s="8" t="n"/>
      <c r="F64" s="8" t="n"/>
      <c r="G64" s="8" t="n"/>
      <c r="H64" s="8" t="n"/>
      <c r="I64" s="8" t="n"/>
      <c r="J64" s="8" t="n"/>
      <c r="K64">
        <f>IF(B64="","",SUMIFS(Videos!$F:$F,Videos!$B:$B,B64,Videos!$E:$E,A64))</f>
        <v/>
      </c>
      <c r="L64" s="3">
        <f>IF(OR(K64="",K64=0),"",(D64+E64)/K64*1000)</f>
        <v/>
      </c>
      <c r="M64" s="10">
        <f>IF(OR(B64="",D64+E64=0),"",G64/(D64+E64))</f>
        <v/>
      </c>
      <c r="N64" s="3">
        <f>IF(OR(K64="",K64=0),"",G64/K64*10000)</f>
        <v/>
      </c>
    </row>
    <row r="65">
      <c r="A65" s="9" t="n"/>
      <c r="B65" s="8" t="n"/>
      <c r="C65">
        <f>IF(B65="","",IFERROR(VLOOKUP(B65,Accounts!$A:$D,4,FALSE),""))</f>
        <v/>
      </c>
      <c r="D65" s="8" t="n"/>
      <c r="E65" s="8" t="n"/>
      <c r="F65" s="8" t="n"/>
      <c r="G65" s="8" t="n"/>
      <c r="H65" s="8" t="n"/>
      <c r="I65" s="8" t="n"/>
      <c r="J65" s="8" t="n"/>
      <c r="K65">
        <f>IF(B65="","",SUMIFS(Videos!$F:$F,Videos!$B:$B,B65,Videos!$E:$E,A65))</f>
        <v/>
      </c>
      <c r="L65" s="3">
        <f>IF(OR(K65="",K65=0),"",(D65+E65)/K65*1000)</f>
        <v/>
      </c>
      <c r="M65" s="10">
        <f>IF(OR(B65="",D65+E65=0),"",G65/(D65+E65))</f>
        <v/>
      </c>
      <c r="N65" s="3">
        <f>IF(OR(K65="",K65=0),"",G65/K65*10000)</f>
        <v/>
      </c>
    </row>
    <row r="66">
      <c r="A66" s="9" t="n"/>
      <c r="B66" s="8" t="n"/>
      <c r="C66">
        <f>IF(B66="","",IFERROR(VLOOKUP(B66,Accounts!$A:$D,4,FALSE),""))</f>
        <v/>
      </c>
      <c r="D66" s="8" t="n"/>
      <c r="E66" s="8" t="n"/>
      <c r="F66" s="8" t="n"/>
      <c r="G66" s="8" t="n"/>
      <c r="H66" s="8" t="n"/>
      <c r="I66" s="8" t="n"/>
      <c r="J66" s="8" t="n"/>
      <c r="K66">
        <f>IF(B66="","",SUMIFS(Videos!$F:$F,Videos!$B:$B,B66,Videos!$E:$E,A66))</f>
        <v/>
      </c>
      <c r="L66" s="3">
        <f>IF(OR(K66="",K66=0),"",(D66+E66)/K66*1000)</f>
        <v/>
      </c>
      <c r="M66" s="10">
        <f>IF(OR(B66="",D66+E66=0),"",G66/(D66+E66))</f>
        <v/>
      </c>
      <c r="N66" s="3">
        <f>IF(OR(K66="",K66=0),"",G66/K66*10000)</f>
        <v/>
      </c>
    </row>
    <row r="67">
      <c r="A67" s="9" t="n"/>
      <c r="B67" s="8" t="n"/>
      <c r="C67">
        <f>IF(B67="","",IFERROR(VLOOKUP(B67,Accounts!$A:$D,4,FALSE),""))</f>
        <v/>
      </c>
      <c r="D67" s="8" t="n"/>
      <c r="E67" s="8" t="n"/>
      <c r="F67" s="8" t="n"/>
      <c r="G67" s="8" t="n"/>
      <c r="H67" s="8" t="n"/>
      <c r="I67" s="8" t="n"/>
      <c r="J67" s="8" t="n"/>
      <c r="K67">
        <f>IF(B67="","",SUMIFS(Videos!$F:$F,Videos!$B:$B,B67,Videos!$E:$E,A67))</f>
        <v/>
      </c>
      <c r="L67" s="3">
        <f>IF(OR(K67="",K67=0),"",(D67+E67)/K67*1000)</f>
        <v/>
      </c>
      <c r="M67" s="10">
        <f>IF(OR(B67="",D67+E67=0),"",G67/(D67+E67))</f>
        <v/>
      </c>
      <c r="N67" s="3">
        <f>IF(OR(K67="",K67=0),"",G67/K67*10000)</f>
        <v/>
      </c>
    </row>
    <row r="68">
      <c r="A68" s="9" t="n"/>
      <c r="B68" s="8" t="n"/>
      <c r="C68">
        <f>IF(B68="","",IFERROR(VLOOKUP(B68,Accounts!$A:$D,4,FALSE),""))</f>
        <v/>
      </c>
      <c r="D68" s="8" t="n"/>
      <c r="E68" s="8" t="n"/>
      <c r="F68" s="8" t="n"/>
      <c r="G68" s="8" t="n"/>
      <c r="H68" s="8" t="n"/>
      <c r="I68" s="8" t="n"/>
      <c r="J68" s="8" t="n"/>
      <c r="K68">
        <f>IF(B68="","",SUMIFS(Videos!$F:$F,Videos!$B:$B,B68,Videos!$E:$E,A68))</f>
        <v/>
      </c>
      <c r="L68" s="3">
        <f>IF(OR(K68="",K68=0),"",(D68+E68)/K68*1000)</f>
        <v/>
      </c>
      <c r="M68" s="10">
        <f>IF(OR(B68="",D68+E68=0),"",G68/(D68+E68))</f>
        <v/>
      </c>
      <c r="N68" s="3">
        <f>IF(OR(K68="",K68=0),"",G68/K68*10000)</f>
        <v/>
      </c>
    </row>
    <row r="69">
      <c r="A69" s="9" t="n"/>
      <c r="B69" s="8" t="n"/>
      <c r="C69">
        <f>IF(B69="","",IFERROR(VLOOKUP(B69,Accounts!$A:$D,4,FALSE),""))</f>
        <v/>
      </c>
      <c r="D69" s="8" t="n"/>
      <c r="E69" s="8" t="n"/>
      <c r="F69" s="8" t="n"/>
      <c r="G69" s="8" t="n"/>
      <c r="H69" s="8" t="n"/>
      <c r="I69" s="8" t="n"/>
      <c r="J69" s="8" t="n"/>
      <c r="K69">
        <f>IF(B69="","",SUMIFS(Videos!$F:$F,Videos!$B:$B,B69,Videos!$E:$E,A69))</f>
        <v/>
      </c>
      <c r="L69" s="3">
        <f>IF(OR(K69="",K69=0),"",(D69+E69)/K69*1000)</f>
        <v/>
      </c>
      <c r="M69" s="10">
        <f>IF(OR(B69="",D69+E69=0),"",G69/(D69+E69))</f>
        <v/>
      </c>
      <c r="N69" s="3">
        <f>IF(OR(K69="",K69=0),"",G69/K69*10000)</f>
        <v/>
      </c>
    </row>
    <row r="70">
      <c r="A70" s="9" t="n"/>
      <c r="B70" s="8" t="n"/>
      <c r="C70">
        <f>IF(B70="","",IFERROR(VLOOKUP(B70,Accounts!$A:$D,4,FALSE),""))</f>
        <v/>
      </c>
      <c r="D70" s="8" t="n"/>
      <c r="E70" s="8" t="n"/>
      <c r="F70" s="8" t="n"/>
      <c r="G70" s="8" t="n"/>
      <c r="H70" s="8" t="n"/>
      <c r="I70" s="8" t="n"/>
      <c r="J70" s="8" t="n"/>
      <c r="K70">
        <f>IF(B70="","",SUMIFS(Videos!$F:$F,Videos!$B:$B,B70,Videos!$E:$E,A70))</f>
        <v/>
      </c>
      <c r="L70" s="3">
        <f>IF(OR(K70="",K70=0),"",(D70+E70)/K70*1000)</f>
        <v/>
      </c>
      <c r="M70" s="10">
        <f>IF(OR(B70="",D70+E70=0),"",G70/(D70+E70))</f>
        <v/>
      </c>
      <c r="N70" s="3">
        <f>IF(OR(K70="",K70=0),"",G70/K70*10000)</f>
        <v/>
      </c>
    </row>
    <row r="71">
      <c r="A71" s="9" t="n"/>
      <c r="B71" s="8" t="n"/>
      <c r="C71">
        <f>IF(B71="","",IFERROR(VLOOKUP(B71,Accounts!$A:$D,4,FALSE),""))</f>
        <v/>
      </c>
      <c r="D71" s="8" t="n"/>
      <c r="E71" s="8" t="n"/>
      <c r="F71" s="8" t="n"/>
      <c r="G71" s="8" t="n"/>
      <c r="H71" s="8" t="n"/>
      <c r="I71" s="8" t="n"/>
      <c r="J71" s="8" t="n"/>
      <c r="K71">
        <f>IF(B71="","",SUMIFS(Videos!$F:$F,Videos!$B:$B,B71,Videos!$E:$E,A71))</f>
        <v/>
      </c>
      <c r="L71" s="3">
        <f>IF(OR(K71="",K71=0),"",(D71+E71)/K71*1000)</f>
        <v/>
      </c>
      <c r="M71" s="10">
        <f>IF(OR(B71="",D71+E71=0),"",G71/(D71+E71))</f>
        <v/>
      </c>
      <c r="N71" s="3">
        <f>IF(OR(K71="",K71=0),"",G71/K71*10000)</f>
        <v/>
      </c>
    </row>
    <row r="72">
      <c r="A72" s="9" t="n"/>
      <c r="B72" s="8" t="n"/>
      <c r="C72">
        <f>IF(B72="","",IFERROR(VLOOKUP(B72,Accounts!$A:$D,4,FALSE),""))</f>
        <v/>
      </c>
      <c r="D72" s="8" t="n"/>
      <c r="E72" s="8" t="n"/>
      <c r="F72" s="8" t="n"/>
      <c r="G72" s="8" t="n"/>
      <c r="H72" s="8" t="n"/>
      <c r="I72" s="8" t="n"/>
      <c r="J72" s="8" t="n"/>
      <c r="K72">
        <f>IF(B72="","",SUMIFS(Videos!$F:$F,Videos!$B:$B,B72,Videos!$E:$E,A72))</f>
        <v/>
      </c>
      <c r="L72" s="3">
        <f>IF(OR(K72="",K72=0),"",(D72+E72)/K72*1000)</f>
        <v/>
      </c>
      <c r="M72" s="10">
        <f>IF(OR(B72="",D72+E72=0),"",G72/(D72+E72))</f>
        <v/>
      </c>
      <c r="N72" s="3">
        <f>IF(OR(K72="",K72=0),"",G72/K72*10000)</f>
        <v/>
      </c>
    </row>
    <row r="73">
      <c r="A73" s="9" t="n"/>
      <c r="B73" s="8" t="n"/>
      <c r="C73">
        <f>IF(B73="","",IFERROR(VLOOKUP(B73,Accounts!$A:$D,4,FALSE),""))</f>
        <v/>
      </c>
      <c r="D73" s="8" t="n"/>
      <c r="E73" s="8" t="n"/>
      <c r="F73" s="8" t="n"/>
      <c r="G73" s="8" t="n"/>
      <c r="H73" s="8" t="n"/>
      <c r="I73" s="8" t="n"/>
      <c r="J73" s="8" t="n"/>
      <c r="K73">
        <f>IF(B73="","",SUMIFS(Videos!$F:$F,Videos!$B:$B,B73,Videos!$E:$E,A73))</f>
        <v/>
      </c>
      <c r="L73" s="3">
        <f>IF(OR(K73="",K73=0),"",(D73+E73)/K73*1000)</f>
        <v/>
      </c>
      <c r="M73" s="10">
        <f>IF(OR(B73="",D73+E73=0),"",G73/(D73+E73))</f>
        <v/>
      </c>
      <c r="N73" s="3">
        <f>IF(OR(K73="",K73=0),"",G73/K73*10000)</f>
        <v/>
      </c>
    </row>
    <row r="74">
      <c r="A74" s="9" t="n"/>
      <c r="B74" s="8" t="n"/>
      <c r="C74">
        <f>IF(B74="","",IFERROR(VLOOKUP(B74,Accounts!$A:$D,4,FALSE),""))</f>
        <v/>
      </c>
      <c r="D74" s="8" t="n"/>
      <c r="E74" s="8" t="n"/>
      <c r="F74" s="8" t="n"/>
      <c r="G74" s="8" t="n"/>
      <c r="H74" s="8" t="n"/>
      <c r="I74" s="8" t="n"/>
      <c r="J74" s="8" t="n"/>
      <c r="K74">
        <f>IF(B74="","",SUMIFS(Videos!$F:$F,Videos!$B:$B,B74,Videos!$E:$E,A74))</f>
        <v/>
      </c>
      <c r="L74" s="3">
        <f>IF(OR(K74="",K74=0),"",(D74+E74)/K74*1000)</f>
        <v/>
      </c>
      <c r="M74" s="10">
        <f>IF(OR(B74="",D74+E74=0),"",G74/(D74+E74))</f>
        <v/>
      </c>
      <c r="N74" s="3">
        <f>IF(OR(K74="",K74=0),"",G74/K74*10000)</f>
        <v/>
      </c>
    </row>
    <row r="75">
      <c r="A75" s="9" t="n"/>
      <c r="B75" s="8" t="n"/>
      <c r="C75">
        <f>IF(B75="","",IFERROR(VLOOKUP(B75,Accounts!$A:$D,4,FALSE),""))</f>
        <v/>
      </c>
      <c r="D75" s="8" t="n"/>
      <c r="E75" s="8" t="n"/>
      <c r="F75" s="8" t="n"/>
      <c r="G75" s="8" t="n"/>
      <c r="H75" s="8" t="n"/>
      <c r="I75" s="8" t="n"/>
      <c r="J75" s="8" t="n"/>
      <c r="K75">
        <f>IF(B75="","",SUMIFS(Videos!$F:$F,Videos!$B:$B,B75,Videos!$E:$E,A75))</f>
        <v/>
      </c>
      <c r="L75" s="3">
        <f>IF(OR(K75="",K75=0),"",(D75+E75)/K75*1000)</f>
        <v/>
      </c>
      <c r="M75" s="10">
        <f>IF(OR(B75="",D75+E75=0),"",G75/(D75+E75))</f>
        <v/>
      </c>
      <c r="N75" s="3">
        <f>IF(OR(K75="",K75=0),"",G75/K75*10000)</f>
        <v/>
      </c>
    </row>
    <row r="76">
      <c r="A76" s="9" t="n"/>
      <c r="B76" s="8" t="n"/>
      <c r="C76">
        <f>IF(B76="","",IFERROR(VLOOKUP(B76,Accounts!$A:$D,4,FALSE),""))</f>
        <v/>
      </c>
      <c r="D76" s="8" t="n"/>
      <c r="E76" s="8" t="n"/>
      <c r="F76" s="8" t="n"/>
      <c r="G76" s="8" t="n"/>
      <c r="H76" s="8" t="n"/>
      <c r="I76" s="8" t="n"/>
      <c r="J76" s="8" t="n"/>
      <c r="K76">
        <f>IF(B76="","",SUMIFS(Videos!$F:$F,Videos!$B:$B,B76,Videos!$E:$E,A76))</f>
        <v/>
      </c>
      <c r="L76" s="3">
        <f>IF(OR(K76="",K76=0),"",(D76+E76)/K76*1000)</f>
        <v/>
      </c>
      <c r="M76" s="10">
        <f>IF(OR(B76="",D76+E76=0),"",G76/(D76+E76))</f>
        <v/>
      </c>
      <c r="N76" s="3">
        <f>IF(OR(K76="",K76=0),"",G76/K76*10000)</f>
        <v/>
      </c>
    </row>
    <row r="77">
      <c r="A77" s="9" t="n"/>
      <c r="B77" s="8" t="n"/>
      <c r="C77">
        <f>IF(B77="","",IFERROR(VLOOKUP(B77,Accounts!$A:$D,4,FALSE),""))</f>
        <v/>
      </c>
      <c r="D77" s="8" t="n"/>
      <c r="E77" s="8" t="n"/>
      <c r="F77" s="8" t="n"/>
      <c r="G77" s="8" t="n"/>
      <c r="H77" s="8" t="n"/>
      <c r="I77" s="8" t="n"/>
      <c r="J77" s="8" t="n"/>
      <c r="K77">
        <f>IF(B77="","",SUMIFS(Videos!$F:$F,Videos!$B:$B,B77,Videos!$E:$E,A77))</f>
        <v/>
      </c>
      <c r="L77" s="3">
        <f>IF(OR(K77="",K77=0),"",(D77+E77)/K77*1000)</f>
        <v/>
      </c>
      <c r="M77" s="10">
        <f>IF(OR(B77="",D77+E77=0),"",G77/(D77+E77))</f>
        <v/>
      </c>
      <c r="N77" s="3">
        <f>IF(OR(K77="",K77=0),"",G77/K77*10000)</f>
        <v/>
      </c>
    </row>
    <row r="78">
      <c r="A78" s="9" t="n"/>
      <c r="B78" s="8" t="n"/>
      <c r="C78">
        <f>IF(B78="","",IFERROR(VLOOKUP(B78,Accounts!$A:$D,4,FALSE),""))</f>
        <v/>
      </c>
      <c r="D78" s="8" t="n"/>
      <c r="E78" s="8" t="n"/>
      <c r="F78" s="8" t="n"/>
      <c r="G78" s="8" t="n"/>
      <c r="H78" s="8" t="n"/>
      <c r="I78" s="8" t="n"/>
      <c r="J78" s="8" t="n"/>
      <c r="K78">
        <f>IF(B78="","",SUMIFS(Videos!$F:$F,Videos!$B:$B,B78,Videos!$E:$E,A78))</f>
        <v/>
      </c>
      <c r="L78" s="3">
        <f>IF(OR(K78="",K78=0),"",(D78+E78)/K78*1000)</f>
        <v/>
      </c>
      <c r="M78" s="10">
        <f>IF(OR(B78="",D78+E78=0),"",G78/(D78+E78))</f>
        <v/>
      </c>
      <c r="N78" s="3">
        <f>IF(OR(K78="",K78=0),"",G78/K78*10000)</f>
        <v/>
      </c>
    </row>
    <row r="79">
      <c r="A79" s="9" t="n"/>
      <c r="B79" s="8" t="n"/>
      <c r="C79">
        <f>IF(B79="","",IFERROR(VLOOKUP(B79,Accounts!$A:$D,4,FALSE),""))</f>
        <v/>
      </c>
      <c r="D79" s="8" t="n"/>
      <c r="E79" s="8" t="n"/>
      <c r="F79" s="8" t="n"/>
      <c r="G79" s="8" t="n"/>
      <c r="H79" s="8" t="n"/>
      <c r="I79" s="8" t="n"/>
      <c r="J79" s="8" t="n"/>
      <c r="K79">
        <f>IF(B79="","",SUMIFS(Videos!$F:$F,Videos!$B:$B,B79,Videos!$E:$E,A79))</f>
        <v/>
      </c>
      <c r="L79" s="3">
        <f>IF(OR(K79="",K79=0),"",(D79+E79)/K79*1000)</f>
        <v/>
      </c>
      <c r="M79" s="10">
        <f>IF(OR(B79="",D79+E79=0),"",G79/(D79+E79))</f>
        <v/>
      </c>
      <c r="N79" s="3">
        <f>IF(OR(K79="",K79=0),"",G79/K79*10000)</f>
        <v/>
      </c>
    </row>
    <row r="80">
      <c r="A80" s="9" t="n"/>
      <c r="B80" s="8" t="n"/>
      <c r="C80">
        <f>IF(B80="","",IFERROR(VLOOKUP(B80,Accounts!$A:$D,4,FALSE),""))</f>
        <v/>
      </c>
      <c r="D80" s="8" t="n"/>
      <c r="E80" s="8" t="n"/>
      <c r="F80" s="8" t="n"/>
      <c r="G80" s="8" t="n"/>
      <c r="H80" s="8" t="n"/>
      <c r="I80" s="8" t="n"/>
      <c r="J80" s="8" t="n"/>
      <c r="K80">
        <f>IF(B80="","",SUMIFS(Videos!$F:$F,Videos!$B:$B,B80,Videos!$E:$E,A80))</f>
        <v/>
      </c>
      <c r="L80" s="3">
        <f>IF(OR(K80="",K80=0),"",(D80+E80)/K80*1000)</f>
        <v/>
      </c>
      <c r="M80" s="10">
        <f>IF(OR(B80="",D80+E80=0),"",G80/(D80+E80))</f>
        <v/>
      </c>
      <c r="N80" s="3">
        <f>IF(OR(K80="",K80=0),"",G80/K80*10000)</f>
        <v/>
      </c>
    </row>
    <row r="81">
      <c r="A81" s="9" t="n"/>
      <c r="B81" s="8" t="n"/>
      <c r="C81">
        <f>IF(B81="","",IFERROR(VLOOKUP(B81,Accounts!$A:$D,4,FALSE),""))</f>
        <v/>
      </c>
      <c r="D81" s="8" t="n"/>
      <c r="E81" s="8" t="n"/>
      <c r="F81" s="8" t="n"/>
      <c r="G81" s="8" t="n"/>
      <c r="H81" s="8" t="n"/>
      <c r="I81" s="8" t="n"/>
      <c r="J81" s="8" t="n"/>
      <c r="K81">
        <f>IF(B81="","",SUMIFS(Videos!$F:$F,Videos!$B:$B,B81,Videos!$E:$E,A81))</f>
        <v/>
      </c>
      <c r="L81" s="3">
        <f>IF(OR(K81="",K81=0),"",(D81+E81)/K81*1000)</f>
        <v/>
      </c>
      <c r="M81" s="10">
        <f>IF(OR(B81="",D81+E81=0),"",G81/(D81+E81))</f>
        <v/>
      </c>
      <c r="N81" s="3">
        <f>IF(OR(K81="",K81=0),"",G81/K81*10000)</f>
        <v/>
      </c>
    </row>
    <row r="82">
      <c r="A82" s="9" t="n"/>
      <c r="B82" s="8" t="n"/>
      <c r="C82">
        <f>IF(B82="","",IFERROR(VLOOKUP(B82,Accounts!$A:$D,4,FALSE),""))</f>
        <v/>
      </c>
      <c r="D82" s="8" t="n"/>
      <c r="E82" s="8" t="n"/>
      <c r="F82" s="8" t="n"/>
      <c r="G82" s="8" t="n"/>
      <c r="H82" s="8" t="n"/>
      <c r="I82" s="8" t="n"/>
      <c r="J82" s="8" t="n"/>
      <c r="K82">
        <f>IF(B82="","",SUMIFS(Videos!$F:$F,Videos!$B:$B,B82,Videos!$E:$E,A82))</f>
        <v/>
      </c>
      <c r="L82" s="3">
        <f>IF(OR(K82="",K82=0),"",(D82+E82)/K82*1000)</f>
        <v/>
      </c>
      <c r="M82" s="10">
        <f>IF(OR(B82="",D82+E82=0),"",G82/(D82+E82))</f>
        <v/>
      </c>
      <c r="N82" s="3">
        <f>IF(OR(K82="",K82=0),"",G82/K82*10000)</f>
        <v/>
      </c>
    </row>
    <row r="83">
      <c r="A83" s="9" t="n"/>
      <c r="B83" s="8" t="n"/>
      <c r="C83">
        <f>IF(B83="","",IFERROR(VLOOKUP(B83,Accounts!$A:$D,4,FALSE),""))</f>
        <v/>
      </c>
      <c r="D83" s="8" t="n"/>
      <c r="E83" s="8" t="n"/>
      <c r="F83" s="8" t="n"/>
      <c r="G83" s="8" t="n"/>
      <c r="H83" s="8" t="n"/>
      <c r="I83" s="8" t="n"/>
      <c r="J83" s="8" t="n"/>
      <c r="K83">
        <f>IF(B83="","",SUMIFS(Videos!$F:$F,Videos!$B:$B,B83,Videos!$E:$E,A83))</f>
        <v/>
      </c>
      <c r="L83" s="3">
        <f>IF(OR(K83="",K83=0),"",(D83+E83)/K83*1000)</f>
        <v/>
      </c>
      <c r="M83" s="10">
        <f>IF(OR(B83="",D83+E83=0),"",G83/(D83+E83))</f>
        <v/>
      </c>
      <c r="N83" s="3">
        <f>IF(OR(K83="",K83=0),"",G83/K83*10000)</f>
        <v/>
      </c>
    </row>
    <row r="84">
      <c r="A84" s="9" t="n"/>
      <c r="B84" s="8" t="n"/>
      <c r="C84">
        <f>IF(B84="","",IFERROR(VLOOKUP(B84,Accounts!$A:$D,4,FALSE),""))</f>
        <v/>
      </c>
      <c r="D84" s="8" t="n"/>
      <c r="E84" s="8" t="n"/>
      <c r="F84" s="8" t="n"/>
      <c r="G84" s="8" t="n"/>
      <c r="H84" s="8" t="n"/>
      <c r="I84" s="8" t="n"/>
      <c r="J84" s="8" t="n"/>
      <c r="K84">
        <f>IF(B84="","",SUMIFS(Videos!$F:$F,Videos!$B:$B,B84,Videos!$E:$E,A84))</f>
        <v/>
      </c>
      <c r="L84" s="3">
        <f>IF(OR(K84="",K84=0),"",(D84+E84)/K84*1000)</f>
        <v/>
      </c>
      <c r="M84" s="10">
        <f>IF(OR(B84="",D84+E84=0),"",G84/(D84+E84))</f>
        <v/>
      </c>
      <c r="N84" s="3">
        <f>IF(OR(K84="",K84=0),"",G84/K84*10000)</f>
        <v/>
      </c>
    </row>
    <row r="85">
      <c r="A85" s="9" t="n"/>
      <c r="B85" s="8" t="n"/>
      <c r="C85">
        <f>IF(B85="","",IFERROR(VLOOKUP(B85,Accounts!$A:$D,4,FALSE),""))</f>
        <v/>
      </c>
      <c r="D85" s="8" t="n"/>
      <c r="E85" s="8" t="n"/>
      <c r="F85" s="8" t="n"/>
      <c r="G85" s="8" t="n"/>
      <c r="H85" s="8" t="n"/>
      <c r="I85" s="8" t="n"/>
      <c r="J85" s="8" t="n"/>
      <c r="K85">
        <f>IF(B85="","",SUMIFS(Videos!$F:$F,Videos!$B:$B,B85,Videos!$E:$E,A85))</f>
        <v/>
      </c>
      <c r="L85" s="3">
        <f>IF(OR(K85="",K85=0),"",(D85+E85)/K85*1000)</f>
        <v/>
      </c>
      <c r="M85" s="10">
        <f>IF(OR(B85="",D85+E85=0),"",G85/(D85+E85))</f>
        <v/>
      </c>
      <c r="N85" s="3">
        <f>IF(OR(K85="",K85=0),"",G85/K85*10000)</f>
        <v/>
      </c>
    </row>
    <row r="86">
      <c r="A86" s="9" t="n"/>
      <c r="B86" s="8" t="n"/>
      <c r="C86">
        <f>IF(B86="","",IFERROR(VLOOKUP(B86,Accounts!$A:$D,4,FALSE),""))</f>
        <v/>
      </c>
      <c r="D86" s="8" t="n"/>
      <c r="E86" s="8" t="n"/>
      <c r="F86" s="8" t="n"/>
      <c r="G86" s="8" t="n"/>
      <c r="H86" s="8" t="n"/>
      <c r="I86" s="8" t="n"/>
      <c r="J86" s="8" t="n"/>
      <c r="K86">
        <f>IF(B86="","",SUMIFS(Videos!$F:$F,Videos!$B:$B,B86,Videos!$E:$E,A86))</f>
        <v/>
      </c>
      <c r="L86" s="3">
        <f>IF(OR(K86="",K86=0),"",(D86+E86)/K86*1000)</f>
        <v/>
      </c>
      <c r="M86" s="10">
        <f>IF(OR(B86="",D86+E86=0),"",G86/(D86+E86))</f>
        <v/>
      </c>
      <c r="N86" s="3">
        <f>IF(OR(K86="",K86=0),"",G86/K86*10000)</f>
        <v/>
      </c>
    </row>
    <row r="87">
      <c r="A87" s="9" t="n"/>
      <c r="B87" s="8" t="n"/>
      <c r="C87">
        <f>IF(B87="","",IFERROR(VLOOKUP(B87,Accounts!$A:$D,4,FALSE),""))</f>
        <v/>
      </c>
      <c r="D87" s="8" t="n"/>
      <c r="E87" s="8" t="n"/>
      <c r="F87" s="8" t="n"/>
      <c r="G87" s="8" t="n"/>
      <c r="H87" s="8" t="n"/>
      <c r="I87" s="8" t="n"/>
      <c r="J87" s="8" t="n"/>
      <c r="K87">
        <f>IF(B87="","",SUMIFS(Videos!$F:$F,Videos!$B:$B,B87,Videos!$E:$E,A87))</f>
        <v/>
      </c>
      <c r="L87" s="3">
        <f>IF(OR(K87="",K87=0),"",(D87+E87)/K87*1000)</f>
        <v/>
      </c>
      <c r="M87" s="10">
        <f>IF(OR(B87="",D87+E87=0),"",G87/(D87+E87))</f>
        <v/>
      </c>
      <c r="N87" s="3">
        <f>IF(OR(K87="",K87=0),"",G87/K87*10000)</f>
        <v/>
      </c>
    </row>
    <row r="88">
      <c r="A88" s="9" t="n"/>
      <c r="B88" s="8" t="n"/>
      <c r="C88">
        <f>IF(B88="","",IFERROR(VLOOKUP(B88,Accounts!$A:$D,4,FALSE),""))</f>
        <v/>
      </c>
      <c r="D88" s="8" t="n"/>
      <c r="E88" s="8" t="n"/>
      <c r="F88" s="8" t="n"/>
      <c r="G88" s="8" t="n"/>
      <c r="H88" s="8" t="n"/>
      <c r="I88" s="8" t="n"/>
      <c r="J88" s="8" t="n"/>
      <c r="K88">
        <f>IF(B88="","",SUMIFS(Videos!$F:$F,Videos!$B:$B,B88,Videos!$E:$E,A88))</f>
        <v/>
      </c>
      <c r="L88" s="3">
        <f>IF(OR(K88="",K88=0),"",(D88+E88)/K88*1000)</f>
        <v/>
      </c>
      <c r="M88" s="10">
        <f>IF(OR(B88="",D88+E88=0),"",G88/(D88+E88))</f>
        <v/>
      </c>
      <c r="N88" s="3">
        <f>IF(OR(K88="",K88=0),"",G88/K88*10000)</f>
        <v/>
      </c>
    </row>
    <row r="89">
      <c r="A89" s="9" t="n"/>
      <c r="B89" s="8" t="n"/>
      <c r="C89">
        <f>IF(B89="","",IFERROR(VLOOKUP(B89,Accounts!$A:$D,4,FALSE),""))</f>
        <v/>
      </c>
      <c r="D89" s="8" t="n"/>
      <c r="E89" s="8" t="n"/>
      <c r="F89" s="8" t="n"/>
      <c r="G89" s="8" t="n"/>
      <c r="H89" s="8" t="n"/>
      <c r="I89" s="8" t="n"/>
      <c r="J89" s="8" t="n"/>
      <c r="K89">
        <f>IF(B89="","",SUMIFS(Videos!$F:$F,Videos!$B:$B,B89,Videos!$E:$E,A89))</f>
        <v/>
      </c>
      <c r="L89" s="3">
        <f>IF(OR(K89="",K89=0),"",(D89+E89)/K89*1000)</f>
        <v/>
      </c>
      <c r="M89" s="10">
        <f>IF(OR(B89="",D89+E89=0),"",G89/(D89+E89))</f>
        <v/>
      </c>
      <c r="N89" s="3">
        <f>IF(OR(K89="",K89=0),"",G89/K89*10000)</f>
        <v/>
      </c>
    </row>
    <row r="90">
      <c r="A90" s="9" t="n"/>
      <c r="B90" s="8" t="n"/>
      <c r="C90">
        <f>IF(B90="","",IFERROR(VLOOKUP(B90,Accounts!$A:$D,4,FALSE),""))</f>
        <v/>
      </c>
      <c r="D90" s="8" t="n"/>
      <c r="E90" s="8" t="n"/>
      <c r="F90" s="8" t="n"/>
      <c r="G90" s="8" t="n"/>
      <c r="H90" s="8" t="n"/>
      <c r="I90" s="8" t="n"/>
      <c r="J90" s="8" t="n"/>
      <c r="K90">
        <f>IF(B90="","",SUMIFS(Videos!$F:$F,Videos!$B:$B,B90,Videos!$E:$E,A90))</f>
        <v/>
      </c>
      <c r="L90" s="3">
        <f>IF(OR(K90="",K90=0),"",(D90+E90)/K90*1000)</f>
        <v/>
      </c>
      <c r="M90" s="10">
        <f>IF(OR(B90="",D90+E90=0),"",G90/(D90+E90))</f>
        <v/>
      </c>
      <c r="N90" s="3">
        <f>IF(OR(K90="",K90=0),"",G90/K90*10000)</f>
        <v/>
      </c>
    </row>
    <row r="91">
      <c r="A91" s="9" t="n"/>
      <c r="B91" s="8" t="n"/>
      <c r="C91">
        <f>IF(B91="","",IFERROR(VLOOKUP(B91,Accounts!$A:$D,4,FALSE),""))</f>
        <v/>
      </c>
      <c r="D91" s="8" t="n"/>
      <c r="E91" s="8" t="n"/>
      <c r="F91" s="8" t="n"/>
      <c r="G91" s="8" t="n"/>
      <c r="H91" s="8" t="n"/>
      <c r="I91" s="8" t="n"/>
      <c r="J91" s="8" t="n"/>
      <c r="K91">
        <f>IF(B91="","",SUMIFS(Videos!$F:$F,Videos!$B:$B,B91,Videos!$E:$E,A91))</f>
        <v/>
      </c>
      <c r="L91" s="3">
        <f>IF(OR(K91="",K91=0),"",(D91+E91)/K91*1000)</f>
        <v/>
      </c>
      <c r="M91" s="10">
        <f>IF(OR(B91="",D91+E91=0),"",G91/(D91+E91))</f>
        <v/>
      </c>
      <c r="N91" s="3">
        <f>IF(OR(K91="",K91=0),"",G91/K91*10000)</f>
        <v/>
      </c>
    </row>
    <row r="92">
      <c r="A92" s="9" t="n"/>
      <c r="B92" s="8" t="n"/>
      <c r="C92">
        <f>IF(B92="","",IFERROR(VLOOKUP(B92,Accounts!$A:$D,4,FALSE),""))</f>
        <v/>
      </c>
      <c r="D92" s="8" t="n"/>
      <c r="E92" s="8" t="n"/>
      <c r="F92" s="8" t="n"/>
      <c r="G92" s="8" t="n"/>
      <c r="H92" s="8" t="n"/>
      <c r="I92" s="8" t="n"/>
      <c r="J92" s="8" t="n"/>
      <c r="K92">
        <f>IF(B92="","",SUMIFS(Videos!$F:$F,Videos!$B:$B,B92,Videos!$E:$E,A92))</f>
        <v/>
      </c>
      <c r="L92" s="3">
        <f>IF(OR(K92="",K92=0),"",(D92+E92)/K92*1000)</f>
        <v/>
      </c>
      <c r="M92" s="10">
        <f>IF(OR(B92="",D92+E92=0),"",G92/(D92+E92))</f>
        <v/>
      </c>
      <c r="N92" s="3">
        <f>IF(OR(K92="",K92=0),"",G92/K92*10000)</f>
        <v/>
      </c>
    </row>
    <row r="93">
      <c r="A93" s="9" t="n"/>
      <c r="B93" s="8" t="n"/>
      <c r="C93">
        <f>IF(B93="","",IFERROR(VLOOKUP(B93,Accounts!$A:$D,4,FALSE),""))</f>
        <v/>
      </c>
      <c r="D93" s="8" t="n"/>
      <c r="E93" s="8" t="n"/>
      <c r="F93" s="8" t="n"/>
      <c r="G93" s="8" t="n"/>
      <c r="H93" s="8" t="n"/>
      <c r="I93" s="8" t="n"/>
      <c r="J93" s="8" t="n"/>
      <c r="K93">
        <f>IF(B93="","",SUMIFS(Videos!$F:$F,Videos!$B:$B,B93,Videos!$E:$E,A93))</f>
        <v/>
      </c>
      <c r="L93" s="3">
        <f>IF(OR(K93="",K93=0),"",(D93+E93)/K93*1000)</f>
        <v/>
      </c>
      <c r="M93" s="10">
        <f>IF(OR(B93="",D93+E93=0),"",G93/(D93+E93))</f>
        <v/>
      </c>
      <c r="N93" s="3">
        <f>IF(OR(K93="",K93=0),"",G93/K93*10000)</f>
        <v/>
      </c>
    </row>
    <row r="94">
      <c r="A94" s="9" t="n"/>
      <c r="B94" s="8" t="n"/>
      <c r="C94">
        <f>IF(B94="","",IFERROR(VLOOKUP(B94,Accounts!$A:$D,4,FALSE),""))</f>
        <v/>
      </c>
      <c r="D94" s="8" t="n"/>
      <c r="E94" s="8" t="n"/>
      <c r="F94" s="8" t="n"/>
      <c r="G94" s="8" t="n"/>
      <c r="H94" s="8" t="n"/>
      <c r="I94" s="8" t="n"/>
      <c r="J94" s="8" t="n"/>
      <c r="K94">
        <f>IF(B94="","",SUMIFS(Videos!$F:$F,Videos!$B:$B,B94,Videos!$E:$E,A94))</f>
        <v/>
      </c>
      <c r="L94" s="3">
        <f>IF(OR(K94="",K94=0),"",(D94+E94)/K94*1000)</f>
        <v/>
      </c>
      <c r="M94" s="10">
        <f>IF(OR(B94="",D94+E94=0),"",G94/(D94+E94))</f>
        <v/>
      </c>
      <c r="N94" s="3">
        <f>IF(OR(K94="",K94=0),"",G94/K94*10000)</f>
        <v/>
      </c>
    </row>
    <row r="95">
      <c r="A95" s="9" t="n"/>
      <c r="B95" s="8" t="n"/>
      <c r="C95">
        <f>IF(B95="","",IFERROR(VLOOKUP(B95,Accounts!$A:$D,4,FALSE),""))</f>
        <v/>
      </c>
      <c r="D95" s="8" t="n"/>
      <c r="E95" s="8" t="n"/>
      <c r="F95" s="8" t="n"/>
      <c r="G95" s="8" t="n"/>
      <c r="H95" s="8" t="n"/>
      <c r="I95" s="8" t="n"/>
      <c r="J95" s="8" t="n"/>
      <c r="K95">
        <f>IF(B95="","",SUMIFS(Videos!$F:$F,Videos!$B:$B,B95,Videos!$E:$E,A95))</f>
        <v/>
      </c>
      <c r="L95" s="3">
        <f>IF(OR(K95="",K95=0),"",(D95+E95)/K95*1000)</f>
        <v/>
      </c>
      <c r="M95" s="10">
        <f>IF(OR(B95="",D95+E95=0),"",G95/(D95+E95))</f>
        <v/>
      </c>
      <c r="N95" s="3">
        <f>IF(OR(K95="",K95=0),"",G95/K95*10000)</f>
        <v/>
      </c>
    </row>
    <row r="96">
      <c r="A96" s="9" t="n"/>
      <c r="B96" s="8" t="n"/>
      <c r="C96">
        <f>IF(B96="","",IFERROR(VLOOKUP(B96,Accounts!$A:$D,4,FALSE),""))</f>
        <v/>
      </c>
      <c r="D96" s="8" t="n"/>
      <c r="E96" s="8" t="n"/>
      <c r="F96" s="8" t="n"/>
      <c r="G96" s="8" t="n"/>
      <c r="H96" s="8" t="n"/>
      <c r="I96" s="8" t="n"/>
      <c r="J96" s="8" t="n"/>
      <c r="K96">
        <f>IF(B96="","",SUMIFS(Videos!$F:$F,Videos!$B:$B,B96,Videos!$E:$E,A96))</f>
        <v/>
      </c>
      <c r="L96" s="3">
        <f>IF(OR(K96="",K96=0),"",(D96+E96)/K96*1000)</f>
        <v/>
      </c>
      <c r="M96" s="10">
        <f>IF(OR(B96="",D96+E96=0),"",G96/(D96+E96))</f>
        <v/>
      </c>
      <c r="N96" s="3">
        <f>IF(OR(K96="",K96=0),"",G96/K96*10000)</f>
        <v/>
      </c>
    </row>
    <row r="97">
      <c r="A97" s="9" t="n"/>
      <c r="B97" s="8" t="n"/>
      <c r="C97">
        <f>IF(B97="","",IFERROR(VLOOKUP(B97,Accounts!$A:$D,4,FALSE),""))</f>
        <v/>
      </c>
      <c r="D97" s="8" t="n"/>
      <c r="E97" s="8" t="n"/>
      <c r="F97" s="8" t="n"/>
      <c r="G97" s="8" t="n"/>
      <c r="H97" s="8" t="n"/>
      <c r="I97" s="8" t="n"/>
      <c r="J97" s="8" t="n"/>
      <c r="K97">
        <f>IF(B97="","",SUMIFS(Videos!$F:$F,Videos!$B:$B,B97,Videos!$E:$E,A97))</f>
        <v/>
      </c>
      <c r="L97" s="3">
        <f>IF(OR(K97="",K97=0),"",(D97+E97)/K97*1000)</f>
        <v/>
      </c>
      <c r="M97" s="10">
        <f>IF(OR(B97="",D97+E97=0),"",G97/(D97+E97))</f>
        <v/>
      </c>
      <c r="N97" s="3">
        <f>IF(OR(K97="",K97=0),"",G97/K97*10000)</f>
        <v/>
      </c>
    </row>
    <row r="98">
      <c r="A98" s="9" t="n"/>
      <c r="B98" s="8" t="n"/>
      <c r="C98">
        <f>IF(B98="","",IFERROR(VLOOKUP(B98,Accounts!$A:$D,4,FALSE),""))</f>
        <v/>
      </c>
      <c r="D98" s="8" t="n"/>
      <c r="E98" s="8" t="n"/>
      <c r="F98" s="8" t="n"/>
      <c r="G98" s="8" t="n"/>
      <c r="H98" s="8" t="n"/>
      <c r="I98" s="8" t="n"/>
      <c r="J98" s="8" t="n"/>
      <c r="K98">
        <f>IF(B98="","",SUMIFS(Videos!$F:$F,Videos!$B:$B,B98,Videos!$E:$E,A98))</f>
        <v/>
      </c>
      <c r="L98" s="3">
        <f>IF(OR(K98="",K98=0),"",(D98+E98)/K98*1000)</f>
        <v/>
      </c>
      <c r="M98" s="10">
        <f>IF(OR(B98="",D98+E98=0),"",G98/(D98+E98))</f>
        <v/>
      </c>
      <c r="N98" s="3">
        <f>IF(OR(K98="",K98=0),"",G98/K98*10000)</f>
        <v/>
      </c>
    </row>
    <row r="99">
      <c r="A99" s="9" t="n"/>
      <c r="B99" s="8" t="n"/>
      <c r="C99">
        <f>IF(B99="","",IFERROR(VLOOKUP(B99,Accounts!$A:$D,4,FALSE),""))</f>
        <v/>
      </c>
      <c r="D99" s="8" t="n"/>
      <c r="E99" s="8" t="n"/>
      <c r="F99" s="8" t="n"/>
      <c r="G99" s="8" t="n"/>
      <c r="H99" s="8" t="n"/>
      <c r="I99" s="8" t="n"/>
      <c r="J99" s="8" t="n"/>
      <c r="K99">
        <f>IF(B99="","",SUMIFS(Videos!$F:$F,Videos!$B:$B,B99,Videos!$E:$E,A99))</f>
        <v/>
      </c>
      <c r="L99" s="3">
        <f>IF(OR(K99="",K99=0),"",(D99+E99)/K99*1000)</f>
        <v/>
      </c>
      <c r="M99" s="10">
        <f>IF(OR(B99="",D99+E99=0),"",G99/(D99+E99))</f>
        <v/>
      </c>
      <c r="N99" s="3">
        <f>IF(OR(K99="",K99=0),"",G99/K99*10000)</f>
        <v/>
      </c>
    </row>
    <row r="100">
      <c r="A100" s="9" t="n"/>
      <c r="B100" s="8" t="n"/>
      <c r="C100">
        <f>IF(B100="","",IFERROR(VLOOKUP(B100,Accounts!$A:$D,4,FALSE),""))</f>
        <v/>
      </c>
      <c r="D100" s="8" t="n"/>
      <c r="E100" s="8" t="n"/>
      <c r="F100" s="8" t="n"/>
      <c r="G100" s="8" t="n"/>
      <c r="H100" s="8" t="n"/>
      <c r="I100" s="8" t="n"/>
      <c r="J100" s="8" t="n"/>
      <c r="K100">
        <f>IF(B100="","",SUMIFS(Videos!$F:$F,Videos!$B:$B,B100,Videos!$E:$E,A100))</f>
        <v/>
      </c>
      <c r="L100" s="3">
        <f>IF(OR(K100="",K100=0),"",(D100+E100)/K100*1000)</f>
        <v/>
      </c>
      <c r="M100" s="10">
        <f>IF(OR(B100="",D100+E100=0),"",G100/(D100+E100))</f>
        <v/>
      </c>
      <c r="N100" s="3">
        <f>IF(OR(K100="",K100=0),"",G100/K100*10000)</f>
        <v/>
      </c>
    </row>
    <row r="101">
      <c r="A101" s="9" t="n"/>
      <c r="B101" s="8" t="n"/>
      <c r="C101">
        <f>IF(B101="","",IFERROR(VLOOKUP(B101,Accounts!$A:$D,4,FALSE),""))</f>
        <v/>
      </c>
      <c r="D101" s="8" t="n"/>
      <c r="E101" s="8" t="n"/>
      <c r="F101" s="8" t="n"/>
      <c r="G101" s="8" t="n"/>
      <c r="H101" s="8" t="n"/>
      <c r="I101" s="8" t="n"/>
      <c r="J101" s="8" t="n"/>
      <c r="K101">
        <f>IF(B101="","",SUMIFS(Videos!$F:$F,Videos!$B:$B,B101,Videos!$E:$E,A101))</f>
        <v/>
      </c>
      <c r="L101" s="3">
        <f>IF(OR(K101="",K101=0),"",(D101+E101)/K101*1000)</f>
        <v/>
      </c>
      <c r="M101" s="10">
        <f>IF(OR(B101="",D101+E101=0),"",G101/(D101+E101))</f>
        <v/>
      </c>
      <c r="N101" s="3">
        <f>IF(OR(K101="",K101=0),"",G101/K101*10000)</f>
        <v/>
      </c>
    </row>
    <row r="102">
      <c r="A102" s="9" t="n"/>
      <c r="B102" s="8" t="n"/>
      <c r="C102">
        <f>IF(B102="","",IFERROR(VLOOKUP(B102,Accounts!$A:$D,4,FALSE),""))</f>
        <v/>
      </c>
      <c r="D102" s="8" t="n"/>
      <c r="E102" s="8" t="n"/>
      <c r="F102" s="8" t="n"/>
      <c r="G102" s="8" t="n"/>
      <c r="H102" s="8" t="n"/>
      <c r="I102" s="8" t="n"/>
      <c r="J102" s="8" t="n"/>
      <c r="K102">
        <f>IF(B102="","",SUMIFS(Videos!$F:$F,Videos!$B:$B,B102,Videos!$E:$E,A102))</f>
        <v/>
      </c>
      <c r="L102" s="3">
        <f>IF(OR(K102="",K102=0),"",(D102+E102)/K102*1000)</f>
        <v/>
      </c>
      <c r="M102" s="10">
        <f>IF(OR(B102="",D102+E102=0),"",G102/(D102+E102))</f>
        <v/>
      </c>
      <c r="N102" s="3">
        <f>IF(OR(K102="",K102=0),"",G102/K102*10000)</f>
        <v/>
      </c>
    </row>
    <row r="103">
      <c r="A103" s="9" t="n"/>
      <c r="B103" s="8" t="n"/>
      <c r="C103">
        <f>IF(B103="","",IFERROR(VLOOKUP(B103,Accounts!$A:$D,4,FALSE),""))</f>
        <v/>
      </c>
      <c r="D103" s="8" t="n"/>
      <c r="E103" s="8" t="n"/>
      <c r="F103" s="8" t="n"/>
      <c r="G103" s="8" t="n"/>
      <c r="H103" s="8" t="n"/>
      <c r="I103" s="8" t="n"/>
      <c r="J103" s="8" t="n"/>
      <c r="K103">
        <f>IF(B103="","",SUMIFS(Videos!$F:$F,Videos!$B:$B,B103,Videos!$E:$E,A103))</f>
        <v/>
      </c>
      <c r="L103" s="3">
        <f>IF(OR(K103="",K103=0),"",(D103+E103)/K103*1000)</f>
        <v/>
      </c>
      <c r="M103" s="10">
        <f>IF(OR(B103="",D103+E103=0),"",G103/(D103+E103))</f>
        <v/>
      </c>
      <c r="N103" s="3">
        <f>IF(OR(K103="",K103=0),"",G103/K103*10000)</f>
        <v/>
      </c>
    </row>
    <row r="104">
      <c r="A104" s="9" t="n"/>
      <c r="B104" s="8" t="n"/>
      <c r="C104">
        <f>IF(B104="","",IFERROR(VLOOKUP(B104,Accounts!$A:$D,4,FALSE),""))</f>
        <v/>
      </c>
      <c r="D104" s="8" t="n"/>
      <c r="E104" s="8" t="n"/>
      <c r="F104" s="8" t="n"/>
      <c r="G104" s="8" t="n"/>
      <c r="H104" s="8" t="n"/>
      <c r="I104" s="8" t="n"/>
      <c r="J104" s="8" t="n"/>
      <c r="K104">
        <f>IF(B104="","",SUMIFS(Videos!$F:$F,Videos!$B:$B,B104,Videos!$E:$E,A104))</f>
        <v/>
      </c>
      <c r="L104" s="3">
        <f>IF(OR(K104="",K104=0),"",(D104+E104)/K104*1000)</f>
        <v/>
      </c>
      <c r="M104" s="10">
        <f>IF(OR(B104="",D104+E104=0),"",G104/(D104+E104))</f>
        <v/>
      </c>
      <c r="N104" s="3">
        <f>IF(OR(K104="",K104=0),"",G104/K104*10000)</f>
        <v/>
      </c>
    </row>
    <row r="105">
      <c r="A105" s="9" t="n"/>
      <c r="B105" s="8" t="n"/>
      <c r="C105">
        <f>IF(B105="","",IFERROR(VLOOKUP(B105,Accounts!$A:$D,4,FALSE),""))</f>
        <v/>
      </c>
      <c r="D105" s="8" t="n"/>
      <c r="E105" s="8" t="n"/>
      <c r="F105" s="8" t="n"/>
      <c r="G105" s="8" t="n"/>
      <c r="H105" s="8" t="n"/>
      <c r="I105" s="8" t="n"/>
      <c r="J105" s="8" t="n"/>
      <c r="K105">
        <f>IF(B105="","",SUMIFS(Videos!$F:$F,Videos!$B:$B,B105,Videos!$E:$E,A105))</f>
        <v/>
      </c>
      <c r="L105" s="3">
        <f>IF(OR(K105="",K105=0),"",(D105+E105)/K105*1000)</f>
        <v/>
      </c>
      <c r="M105" s="10">
        <f>IF(OR(B105="",D105+E105=0),"",G105/(D105+E105))</f>
        <v/>
      </c>
      <c r="N105" s="3">
        <f>IF(OR(K105="",K105=0),"",G105/K105*10000)</f>
        <v/>
      </c>
    </row>
    <row r="106">
      <c r="A106" s="9" t="n"/>
      <c r="B106" s="8" t="n"/>
      <c r="C106">
        <f>IF(B106="","",IFERROR(VLOOKUP(B106,Accounts!$A:$D,4,FALSE),""))</f>
        <v/>
      </c>
      <c r="D106" s="8" t="n"/>
      <c r="E106" s="8" t="n"/>
      <c r="F106" s="8" t="n"/>
      <c r="G106" s="8" t="n"/>
      <c r="H106" s="8" t="n"/>
      <c r="I106" s="8" t="n"/>
      <c r="J106" s="8" t="n"/>
      <c r="K106">
        <f>IF(B106="","",SUMIFS(Videos!$F:$F,Videos!$B:$B,B106,Videos!$E:$E,A106))</f>
        <v/>
      </c>
      <c r="L106" s="3">
        <f>IF(OR(K106="",K106=0),"",(D106+E106)/K106*1000)</f>
        <v/>
      </c>
      <c r="M106" s="10">
        <f>IF(OR(B106="",D106+E106=0),"",G106/(D106+E106))</f>
        <v/>
      </c>
      <c r="N106" s="3">
        <f>IF(OR(K106="",K106=0),"",G106/K106*10000)</f>
        <v/>
      </c>
    </row>
    <row r="107">
      <c r="A107" s="9" t="n"/>
      <c r="B107" s="8" t="n"/>
      <c r="C107">
        <f>IF(B107="","",IFERROR(VLOOKUP(B107,Accounts!$A:$D,4,FALSE),""))</f>
        <v/>
      </c>
      <c r="D107" s="8" t="n"/>
      <c r="E107" s="8" t="n"/>
      <c r="F107" s="8" t="n"/>
      <c r="G107" s="8" t="n"/>
      <c r="H107" s="8" t="n"/>
      <c r="I107" s="8" t="n"/>
      <c r="J107" s="8" t="n"/>
      <c r="K107">
        <f>IF(B107="","",SUMIFS(Videos!$F:$F,Videos!$B:$B,B107,Videos!$E:$E,A107))</f>
        <v/>
      </c>
      <c r="L107" s="3">
        <f>IF(OR(K107="",K107=0),"",(D107+E107)/K107*1000)</f>
        <v/>
      </c>
      <c r="M107" s="10">
        <f>IF(OR(B107="",D107+E107=0),"",G107/(D107+E107))</f>
        <v/>
      </c>
      <c r="N107" s="3">
        <f>IF(OR(K107="",K107=0),"",G107/K107*10000)</f>
        <v/>
      </c>
    </row>
    <row r="108">
      <c r="A108" s="9" t="n"/>
      <c r="B108" s="8" t="n"/>
      <c r="C108">
        <f>IF(B108="","",IFERROR(VLOOKUP(B108,Accounts!$A:$D,4,FALSE),""))</f>
        <v/>
      </c>
      <c r="D108" s="8" t="n"/>
      <c r="E108" s="8" t="n"/>
      <c r="F108" s="8" t="n"/>
      <c r="G108" s="8" t="n"/>
      <c r="H108" s="8" t="n"/>
      <c r="I108" s="8" t="n"/>
      <c r="J108" s="8" t="n"/>
      <c r="K108">
        <f>IF(B108="","",SUMIFS(Videos!$F:$F,Videos!$B:$B,B108,Videos!$E:$E,A108))</f>
        <v/>
      </c>
      <c r="L108" s="3">
        <f>IF(OR(K108="",K108=0),"",(D108+E108)/K108*1000)</f>
        <v/>
      </c>
      <c r="M108" s="10">
        <f>IF(OR(B108="",D108+E108=0),"",G108/(D108+E108))</f>
        <v/>
      </c>
      <c r="N108" s="3">
        <f>IF(OR(K108="",K108=0),"",G108/K108*10000)</f>
        <v/>
      </c>
    </row>
    <row r="109">
      <c r="A109" s="9" t="n"/>
      <c r="B109" s="8" t="n"/>
      <c r="C109">
        <f>IF(B109="","",IFERROR(VLOOKUP(B109,Accounts!$A:$D,4,FALSE),""))</f>
        <v/>
      </c>
      <c r="D109" s="8" t="n"/>
      <c r="E109" s="8" t="n"/>
      <c r="F109" s="8" t="n"/>
      <c r="G109" s="8" t="n"/>
      <c r="H109" s="8" t="n"/>
      <c r="I109" s="8" t="n"/>
      <c r="J109" s="8" t="n"/>
      <c r="K109">
        <f>IF(B109="","",SUMIFS(Videos!$F:$F,Videos!$B:$B,B109,Videos!$E:$E,A109))</f>
        <v/>
      </c>
      <c r="L109" s="3">
        <f>IF(OR(K109="",K109=0),"",(D109+E109)/K109*1000)</f>
        <v/>
      </c>
      <c r="M109" s="10">
        <f>IF(OR(B109="",D109+E109=0),"",G109/(D109+E109))</f>
        <v/>
      </c>
      <c r="N109" s="3">
        <f>IF(OR(K109="",K109=0),"",G109/K109*10000)</f>
        <v/>
      </c>
    </row>
    <row r="110">
      <c r="A110" s="9" t="n"/>
      <c r="B110" s="8" t="n"/>
      <c r="C110">
        <f>IF(B110="","",IFERROR(VLOOKUP(B110,Accounts!$A:$D,4,FALSE),""))</f>
        <v/>
      </c>
      <c r="D110" s="8" t="n"/>
      <c r="E110" s="8" t="n"/>
      <c r="F110" s="8" t="n"/>
      <c r="G110" s="8" t="n"/>
      <c r="H110" s="8" t="n"/>
      <c r="I110" s="8" t="n"/>
      <c r="J110" s="8" t="n"/>
      <c r="K110">
        <f>IF(B110="","",SUMIFS(Videos!$F:$F,Videos!$B:$B,B110,Videos!$E:$E,A110))</f>
        <v/>
      </c>
      <c r="L110" s="3">
        <f>IF(OR(K110="",K110=0),"",(D110+E110)/K110*1000)</f>
        <v/>
      </c>
      <c r="M110" s="10">
        <f>IF(OR(B110="",D110+E110=0),"",G110/(D110+E110))</f>
        <v/>
      </c>
      <c r="N110" s="3">
        <f>IF(OR(K110="",K110=0),"",G110/K110*10000)</f>
        <v/>
      </c>
    </row>
    <row r="111">
      <c r="A111" s="9" t="n"/>
      <c r="B111" s="8" t="n"/>
      <c r="C111">
        <f>IF(B111="","",IFERROR(VLOOKUP(B111,Accounts!$A:$D,4,FALSE),""))</f>
        <v/>
      </c>
      <c r="D111" s="8" t="n"/>
      <c r="E111" s="8" t="n"/>
      <c r="F111" s="8" t="n"/>
      <c r="G111" s="8" t="n"/>
      <c r="H111" s="8" t="n"/>
      <c r="I111" s="8" t="n"/>
      <c r="J111" s="8" t="n"/>
      <c r="K111">
        <f>IF(B111="","",SUMIFS(Videos!$F:$F,Videos!$B:$B,B111,Videos!$E:$E,A111))</f>
        <v/>
      </c>
      <c r="L111" s="3">
        <f>IF(OR(K111="",K111=0),"",(D111+E111)/K111*1000)</f>
        <v/>
      </c>
      <c r="M111" s="10">
        <f>IF(OR(B111="",D111+E111=0),"",G111/(D111+E111))</f>
        <v/>
      </c>
      <c r="N111" s="3">
        <f>IF(OR(K111="",K111=0),"",G111/K111*10000)</f>
        <v/>
      </c>
    </row>
    <row r="112">
      <c r="A112" s="9" t="n"/>
      <c r="B112" s="8" t="n"/>
      <c r="C112">
        <f>IF(B112="","",IFERROR(VLOOKUP(B112,Accounts!$A:$D,4,FALSE),""))</f>
        <v/>
      </c>
      <c r="D112" s="8" t="n"/>
      <c r="E112" s="8" t="n"/>
      <c r="F112" s="8" t="n"/>
      <c r="G112" s="8" t="n"/>
      <c r="H112" s="8" t="n"/>
      <c r="I112" s="8" t="n"/>
      <c r="J112" s="8" t="n"/>
      <c r="K112">
        <f>IF(B112="","",SUMIFS(Videos!$F:$F,Videos!$B:$B,B112,Videos!$E:$E,A112))</f>
        <v/>
      </c>
      <c r="L112" s="3">
        <f>IF(OR(K112="",K112=0),"",(D112+E112)/K112*1000)</f>
        <v/>
      </c>
      <c r="M112" s="10">
        <f>IF(OR(B112="",D112+E112=0),"",G112/(D112+E112))</f>
        <v/>
      </c>
      <c r="N112" s="3">
        <f>IF(OR(K112="",K112=0),"",G112/K112*10000)</f>
        <v/>
      </c>
    </row>
    <row r="113">
      <c r="A113" s="9" t="n"/>
      <c r="B113" s="8" t="n"/>
      <c r="C113">
        <f>IF(B113="","",IFERROR(VLOOKUP(B113,Accounts!$A:$D,4,FALSE),""))</f>
        <v/>
      </c>
      <c r="D113" s="8" t="n"/>
      <c r="E113" s="8" t="n"/>
      <c r="F113" s="8" t="n"/>
      <c r="G113" s="8" t="n"/>
      <c r="H113" s="8" t="n"/>
      <c r="I113" s="8" t="n"/>
      <c r="J113" s="8" t="n"/>
      <c r="K113">
        <f>IF(B113="","",SUMIFS(Videos!$F:$F,Videos!$B:$B,B113,Videos!$E:$E,A113))</f>
        <v/>
      </c>
      <c r="L113" s="3">
        <f>IF(OR(K113="",K113=0),"",(D113+E113)/K113*1000)</f>
        <v/>
      </c>
      <c r="M113" s="10">
        <f>IF(OR(B113="",D113+E113=0),"",G113/(D113+E113))</f>
        <v/>
      </c>
      <c r="N113" s="3">
        <f>IF(OR(K113="",K113=0),"",G113/K113*10000)</f>
        <v/>
      </c>
    </row>
    <row r="114">
      <c r="A114" s="9" t="n"/>
      <c r="B114" s="8" t="n"/>
      <c r="C114">
        <f>IF(B114="","",IFERROR(VLOOKUP(B114,Accounts!$A:$D,4,FALSE),""))</f>
        <v/>
      </c>
      <c r="D114" s="8" t="n"/>
      <c r="E114" s="8" t="n"/>
      <c r="F114" s="8" t="n"/>
      <c r="G114" s="8" t="n"/>
      <c r="H114" s="8" t="n"/>
      <c r="I114" s="8" t="n"/>
      <c r="J114" s="8" t="n"/>
      <c r="K114">
        <f>IF(B114="","",SUMIFS(Videos!$F:$F,Videos!$B:$B,B114,Videos!$E:$E,A114))</f>
        <v/>
      </c>
      <c r="L114" s="3">
        <f>IF(OR(K114="",K114=0),"",(D114+E114)/K114*1000)</f>
        <v/>
      </c>
      <c r="M114" s="10">
        <f>IF(OR(B114="",D114+E114=0),"",G114/(D114+E114))</f>
        <v/>
      </c>
      <c r="N114" s="3">
        <f>IF(OR(K114="",K114=0),"",G114/K114*10000)</f>
        <v/>
      </c>
    </row>
    <row r="115">
      <c r="A115" s="9" t="n"/>
      <c r="B115" s="8" t="n"/>
      <c r="C115">
        <f>IF(B115="","",IFERROR(VLOOKUP(B115,Accounts!$A:$D,4,FALSE),""))</f>
        <v/>
      </c>
      <c r="D115" s="8" t="n"/>
      <c r="E115" s="8" t="n"/>
      <c r="F115" s="8" t="n"/>
      <c r="G115" s="8" t="n"/>
      <c r="H115" s="8" t="n"/>
      <c r="I115" s="8" t="n"/>
      <c r="J115" s="8" t="n"/>
      <c r="K115">
        <f>IF(B115="","",SUMIFS(Videos!$F:$F,Videos!$B:$B,B115,Videos!$E:$E,A115))</f>
        <v/>
      </c>
      <c r="L115" s="3">
        <f>IF(OR(K115="",K115=0),"",(D115+E115)/K115*1000)</f>
        <v/>
      </c>
      <c r="M115" s="10">
        <f>IF(OR(B115="",D115+E115=0),"",G115/(D115+E115))</f>
        <v/>
      </c>
      <c r="N115" s="3">
        <f>IF(OR(K115="",K115=0),"",G115/K115*10000)</f>
        <v/>
      </c>
    </row>
    <row r="116">
      <c r="A116" s="9" t="n"/>
      <c r="B116" s="8" t="n"/>
      <c r="C116">
        <f>IF(B116="","",IFERROR(VLOOKUP(B116,Accounts!$A:$D,4,FALSE),""))</f>
        <v/>
      </c>
      <c r="D116" s="8" t="n"/>
      <c r="E116" s="8" t="n"/>
      <c r="F116" s="8" t="n"/>
      <c r="G116" s="8" t="n"/>
      <c r="H116" s="8" t="n"/>
      <c r="I116" s="8" t="n"/>
      <c r="J116" s="8" t="n"/>
      <c r="K116">
        <f>IF(B116="","",SUMIFS(Videos!$F:$F,Videos!$B:$B,B116,Videos!$E:$E,A116))</f>
        <v/>
      </c>
      <c r="L116" s="3">
        <f>IF(OR(K116="",K116=0),"",(D116+E116)/K116*1000)</f>
        <v/>
      </c>
      <c r="M116" s="10">
        <f>IF(OR(B116="",D116+E116=0),"",G116/(D116+E116))</f>
        <v/>
      </c>
      <c r="N116" s="3">
        <f>IF(OR(K116="",K116=0),"",G116/K116*10000)</f>
        <v/>
      </c>
    </row>
    <row r="117">
      <c r="A117" s="9" t="n"/>
      <c r="B117" s="8" t="n"/>
      <c r="C117">
        <f>IF(B117="","",IFERROR(VLOOKUP(B117,Accounts!$A:$D,4,FALSE),""))</f>
        <v/>
      </c>
      <c r="D117" s="8" t="n"/>
      <c r="E117" s="8" t="n"/>
      <c r="F117" s="8" t="n"/>
      <c r="G117" s="8" t="n"/>
      <c r="H117" s="8" t="n"/>
      <c r="I117" s="8" t="n"/>
      <c r="J117" s="8" t="n"/>
      <c r="K117">
        <f>IF(B117="","",SUMIFS(Videos!$F:$F,Videos!$B:$B,B117,Videos!$E:$E,A117))</f>
        <v/>
      </c>
      <c r="L117" s="3">
        <f>IF(OR(K117="",K117=0),"",(D117+E117)/K117*1000)</f>
        <v/>
      </c>
      <c r="M117" s="10">
        <f>IF(OR(B117="",D117+E117=0),"",G117/(D117+E117))</f>
        <v/>
      </c>
      <c r="N117" s="3">
        <f>IF(OR(K117="",K117=0),"",G117/K117*10000)</f>
        <v/>
      </c>
    </row>
    <row r="118">
      <c r="A118" s="9" t="n"/>
      <c r="B118" s="8" t="n"/>
      <c r="C118">
        <f>IF(B118="","",IFERROR(VLOOKUP(B118,Accounts!$A:$D,4,FALSE),""))</f>
        <v/>
      </c>
      <c r="D118" s="8" t="n"/>
      <c r="E118" s="8" t="n"/>
      <c r="F118" s="8" t="n"/>
      <c r="G118" s="8" t="n"/>
      <c r="H118" s="8" t="n"/>
      <c r="I118" s="8" t="n"/>
      <c r="J118" s="8" t="n"/>
      <c r="K118">
        <f>IF(B118="","",SUMIFS(Videos!$F:$F,Videos!$B:$B,B118,Videos!$E:$E,A118))</f>
        <v/>
      </c>
      <c r="L118" s="3">
        <f>IF(OR(K118="",K118=0),"",(D118+E118)/K118*1000)</f>
        <v/>
      </c>
      <c r="M118" s="10">
        <f>IF(OR(B118="",D118+E118=0),"",G118/(D118+E118))</f>
        <v/>
      </c>
      <c r="N118" s="3">
        <f>IF(OR(K118="",K118=0),"",G118/K118*10000)</f>
        <v/>
      </c>
    </row>
    <row r="119">
      <c r="A119" s="9" t="n"/>
      <c r="B119" s="8" t="n"/>
      <c r="C119">
        <f>IF(B119="","",IFERROR(VLOOKUP(B119,Accounts!$A:$D,4,FALSE),""))</f>
        <v/>
      </c>
      <c r="D119" s="8" t="n"/>
      <c r="E119" s="8" t="n"/>
      <c r="F119" s="8" t="n"/>
      <c r="G119" s="8" t="n"/>
      <c r="H119" s="8" t="n"/>
      <c r="I119" s="8" t="n"/>
      <c r="J119" s="8" t="n"/>
      <c r="K119">
        <f>IF(B119="","",SUMIFS(Videos!$F:$F,Videos!$B:$B,B119,Videos!$E:$E,A119))</f>
        <v/>
      </c>
      <c r="L119" s="3">
        <f>IF(OR(K119="",K119=0),"",(D119+E119)/K119*1000)</f>
        <v/>
      </c>
      <c r="M119" s="10">
        <f>IF(OR(B119="",D119+E119=0),"",G119/(D119+E119))</f>
        <v/>
      </c>
      <c r="N119" s="3">
        <f>IF(OR(K119="",K119=0),"",G119/K119*10000)</f>
        <v/>
      </c>
    </row>
    <row r="120">
      <c r="A120" s="9" t="n"/>
      <c r="B120" s="8" t="n"/>
      <c r="C120">
        <f>IF(B120="","",IFERROR(VLOOKUP(B120,Accounts!$A:$D,4,FALSE),""))</f>
        <v/>
      </c>
      <c r="D120" s="8" t="n"/>
      <c r="E120" s="8" t="n"/>
      <c r="F120" s="8" t="n"/>
      <c r="G120" s="8" t="n"/>
      <c r="H120" s="8" t="n"/>
      <c r="I120" s="8" t="n"/>
      <c r="J120" s="8" t="n"/>
      <c r="K120">
        <f>IF(B120="","",SUMIFS(Videos!$F:$F,Videos!$B:$B,B120,Videos!$E:$E,A120))</f>
        <v/>
      </c>
      <c r="L120" s="3">
        <f>IF(OR(K120="",K120=0),"",(D120+E120)/K120*1000)</f>
        <v/>
      </c>
      <c r="M120" s="10">
        <f>IF(OR(B120="",D120+E120=0),"",G120/(D120+E120))</f>
        <v/>
      </c>
      <c r="N120" s="3">
        <f>IF(OR(K120="",K120=0),"",G120/K120*10000)</f>
        <v/>
      </c>
    </row>
    <row r="121">
      <c r="A121" s="9" t="n"/>
      <c r="B121" s="8" t="n"/>
      <c r="C121">
        <f>IF(B121="","",IFERROR(VLOOKUP(B121,Accounts!$A:$D,4,FALSE),""))</f>
        <v/>
      </c>
      <c r="D121" s="8" t="n"/>
      <c r="E121" s="8" t="n"/>
      <c r="F121" s="8" t="n"/>
      <c r="G121" s="8" t="n"/>
      <c r="H121" s="8" t="n"/>
      <c r="I121" s="8" t="n"/>
      <c r="J121" s="8" t="n"/>
      <c r="K121">
        <f>IF(B121="","",SUMIFS(Videos!$F:$F,Videos!$B:$B,B121,Videos!$E:$E,A121))</f>
        <v/>
      </c>
      <c r="L121" s="3">
        <f>IF(OR(K121="",K121=0),"",(D121+E121)/K121*1000)</f>
        <v/>
      </c>
      <c r="M121" s="10">
        <f>IF(OR(B121="",D121+E121=0),"",G121/(D121+E121))</f>
        <v/>
      </c>
      <c r="N121" s="3">
        <f>IF(OR(K121="",K121=0),"",G121/K121*10000)</f>
        <v/>
      </c>
    </row>
    <row r="122">
      <c r="A122" s="9" t="n"/>
      <c r="B122" s="8" t="n"/>
      <c r="C122">
        <f>IF(B122="","",IFERROR(VLOOKUP(B122,Accounts!$A:$D,4,FALSE),""))</f>
        <v/>
      </c>
      <c r="D122" s="8" t="n"/>
      <c r="E122" s="8" t="n"/>
      <c r="F122" s="8" t="n"/>
      <c r="G122" s="8" t="n"/>
      <c r="H122" s="8" t="n"/>
      <c r="I122" s="8" t="n"/>
      <c r="J122" s="8" t="n"/>
      <c r="K122">
        <f>IF(B122="","",SUMIFS(Videos!$F:$F,Videos!$B:$B,B122,Videos!$E:$E,A122))</f>
        <v/>
      </c>
      <c r="L122" s="3">
        <f>IF(OR(K122="",K122=0),"",(D122+E122)/K122*1000)</f>
        <v/>
      </c>
      <c r="M122" s="10">
        <f>IF(OR(B122="",D122+E122=0),"",G122/(D122+E122))</f>
        <v/>
      </c>
      <c r="N122" s="3">
        <f>IF(OR(K122="",K122=0),"",G122/K122*10000)</f>
        <v/>
      </c>
    </row>
    <row r="123">
      <c r="A123" s="9" t="n"/>
      <c r="B123" s="8" t="n"/>
      <c r="C123">
        <f>IF(B123="","",IFERROR(VLOOKUP(B123,Accounts!$A:$D,4,FALSE),""))</f>
        <v/>
      </c>
      <c r="D123" s="8" t="n"/>
      <c r="E123" s="8" t="n"/>
      <c r="F123" s="8" t="n"/>
      <c r="G123" s="8" t="n"/>
      <c r="H123" s="8" t="n"/>
      <c r="I123" s="8" t="n"/>
      <c r="J123" s="8" t="n"/>
      <c r="K123">
        <f>IF(B123="","",SUMIFS(Videos!$F:$F,Videos!$B:$B,B123,Videos!$E:$E,A123))</f>
        <v/>
      </c>
      <c r="L123" s="3">
        <f>IF(OR(K123="",K123=0),"",(D123+E123)/K123*1000)</f>
        <v/>
      </c>
      <c r="M123" s="10">
        <f>IF(OR(B123="",D123+E123=0),"",G123/(D123+E123))</f>
        <v/>
      </c>
      <c r="N123" s="3">
        <f>IF(OR(K123="",K123=0),"",G123/K123*10000)</f>
        <v/>
      </c>
    </row>
    <row r="124">
      <c r="A124" s="9" t="n"/>
      <c r="B124" s="8" t="n"/>
      <c r="C124">
        <f>IF(B124="","",IFERROR(VLOOKUP(B124,Accounts!$A:$D,4,FALSE),""))</f>
        <v/>
      </c>
      <c r="D124" s="8" t="n"/>
      <c r="E124" s="8" t="n"/>
      <c r="F124" s="8" t="n"/>
      <c r="G124" s="8" t="n"/>
      <c r="H124" s="8" t="n"/>
      <c r="I124" s="8" t="n"/>
      <c r="J124" s="8" t="n"/>
      <c r="K124">
        <f>IF(B124="","",SUMIFS(Videos!$F:$F,Videos!$B:$B,B124,Videos!$E:$E,A124))</f>
        <v/>
      </c>
      <c r="L124" s="3">
        <f>IF(OR(K124="",K124=0),"",(D124+E124)/K124*1000)</f>
        <v/>
      </c>
      <c r="M124" s="10">
        <f>IF(OR(B124="",D124+E124=0),"",G124/(D124+E124))</f>
        <v/>
      </c>
      <c r="N124" s="3">
        <f>IF(OR(K124="",K124=0),"",G124/K124*10000)</f>
        <v/>
      </c>
    </row>
    <row r="125">
      <c r="A125" s="9" t="n"/>
      <c r="B125" s="8" t="n"/>
      <c r="C125">
        <f>IF(B125="","",IFERROR(VLOOKUP(B125,Accounts!$A:$D,4,FALSE),""))</f>
        <v/>
      </c>
      <c r="D125" s="8" t="n"/>
      <c r="E125" s="8" t="n"/>
      <c r="F125" s="8" t="n"/>
      <c r="G125" s="8" t="n"/>
      <c r="H125" s="8" t="n"/>
      <c r="I125" s="8" t="n"/>
      <c r="J125" s="8" t="n"/>
      <c r="K125">
        <f>IF(B125="","",SUMIFS(Videos!$F:$F,Videos!$B:$B,B125,Videos!$E:$E,A125))</f>
        <v/>
      </c>
      <c r="L125" s="3">
        <f>IF(OR(K125="",K125=0),"",(D125+E125)/K125*1000)</f>
        <v/>
      </c>
      <c r="M125" s="10">
        <f>IF(OR(B125="",D125+E125=0),"",G125/(D125+E125))</f>
        <v/>
      </c>
      <c r="N125" s="3">
        <f>IF(OR(K125="",K125=0),"",G125/K125*10000)</f>
        <v/>
      </c>
    </row>
    <row r="126">
      <c r="A126" s="9" t="n"/>
      <c r="B126" s="8" t="n"/>
      <c r="C126">
        <f>IF(B126="","",IFERROR(VLOOKUP(B126,Accounts!$A:$D,4,FALSE),""))</f>
        <v/>
      </c>
      <c r="D126" s="8" t="n"/>
      <c r="E126" s="8" t="n"/>
      <c r="F126" s="8" t="n"/>
      <c r="G126" s="8" t="n"/>
      <c r="H126" s="8" t="n"/>
      <c r="I126" s="8" t="n"/>
      <c r="J126" s="8" t="n"/>
      <c r="K126">
        <f>IF(B126="","",SUMIFS(Videos!$F:$F,Videos!$B:$B,B126,Videos!$E:$E,A126))</f>
        <v/>
      </c>
      <c r="L126" s="3">
        <f>IF(OR(K126="",K126=0),"",(D126+E126)/K126*1000)</f>
        <v/>
      </c>
      <c r="M126" s="10">
        <f>IF(OR(B126="",D126+E126=0),"",G126/(D126+E126))</f>
        <v/>
      </c>
      <c r="N126" s="3">
        <f>IF(OR(K126="",K126=0),"",G126/K126*10000)</f>
        <v/>
      </c>
    </row>
    <row r="127">
      <c r="A127" s="9" t="n"/>
      <c r="B127" s="8" t="n"/>
      <c r="C127">
        <f>IF(B127="","",IFERROR(VLOOKUP(B127,Accounts!$A:$D,4,FALSE),""))</f>
        <v/>
      </c>
      <c r="D127" s="8" t="n"/>
      <c r="E127" s="8" t="n"/>
      <c r="F127" s="8" t="n"/>
      <c r="G127" s="8" t="n"/>
      <c r="H127" s="8" t="n"/>
      <c r="I127" s="8" t="n"/>
      <c r="J127" s="8" t="n"/>
      <c r="K127">
        <f>IF(B127="","",SUMIFS(Videos!$F:$F,Videos!$B:$B,B127,Videos!$E:$E,A127))</f>
        <v/>
      </c>
      <c r="L127" s="3">
        <f>IF(OR(K127="",K127=0),"",(D127+E127)/K127*1000)</f>
        <v/>
      </c>
      <c r="M127" s="10">
        <f>IF(OR(B127="",D127+E127=0),"",G127/(D127+E127))</f>
        <v/>
      </c>
      <c r="N127" s="3">
        <f>IF(OR(K127="",K127=0),"",G127/K127*10000)</f>
        <v/>
      </c>
    </row>
    <row r="128">
      <c r="A128" s="9" t="n"/>
      <c r="B128" s="8" t="n"/>
      <c r="C128">
        <f>IF(B128="","",IFERROR(VLOOKUP(B128,Accounts!$A:$D,4,FALSE),""))</f>
        <v/>
      </c>
      <c r="D128" s="8" t="n"/>
      <c r="E128" s="8" t="n"/>
      <c r="F128" s="8" t="n"/>
      <c r="G128" s="8" t="n"/>
      <c r="H128" s="8" t="n"/>
      <c r="I128" s="8" t="n"/>
      <c r="J128" s="8" t="n"/>
      <c r="K128">
        <f>IF(B128="","",SUMIFS(Videos!$F:$F,Videos!$B:$B,B128,Videos!$E:$E,A128))</f>
        <v/>
      </c>
      <c r="L128" s="3">
        <f>IF(OR(K128="",K128=0),"",(D128+E128)/K128*1000)</f>
        <v/>
      </c>
      <c r="M128" s="10">
        <f>IF(OR(B128="",D128+E128=0),"",G128/(D128+E128))</f>
        <v/>
      </c>
      <c r="N128" s="3">
        <f>IF(OR(K128="",K128=0),"",G128/K128*10000)</f>
        <v/>
      </c>
    </row>
    <row r="129">
      <c r="A129" s="9" t="n"/>
      <c r="B129" s="8" t="n"/>
      <c r="C129">
        <f>IF(B129="","",IFERROR(VLOOKUP(B129,Accounts!$A:$D,4,FALSE),""))</f>
        <v/>
      </c>
      <c r="D129" s="8" t="n"/>
      <c r="E129" s="8" t="n"/>
      <c r="F129" s="8" t="n"/>
      <c r="G129" s="8" t="n"/>
      <c r="H129" s="8" t="n"/>
      <c r="I129" s="8" t="n"/>
      <c r="J129" s="8" t="n"/>
      <c r="K129">
        <f>IF(B129="","",SUMIFS(Videos!$F:$F,Videos!$B:$B,B129,Videos!$E:$E,A129))</f>
        <v/>
      </c>
      <c r="L129" s="3">
        <f>IF(OR(K129="",K129=0),"",(D129+E129)/K129*1000)</f>
        <v/>
      </c>
      <c r="M129" s="10">
        <f>IF(OR(B129="",D129+E129=0),"",G129/(D129+E129))</f>
        <v/>
      </c>
      <c r="N129" s="3">
        <f>IF(OR(K129="",K129=0),"",G129/K129*10000)</f>
        <v/>
      </c>
    </row>
    <row r="130">
      <c r="A130" s="9" t="n"/>
      <c r="B130" s="8" t="n"/>
      <c r="C130">
        <f>IF(B130="","",IFERROR(VLOOKUP(B130,Accounts!$A:$D,4,FALSE),""))</f>
        <v/>
      </c>
      <c r="D130" s="8" t="n"/>
      <c r="E130" s="8" t="n"/>
      <c r="F130" s="8" t="n"/>
      <c r="G130" s="8" t="n"/>
      <c r="H130" s="8" t="n"/>
      <c r="I130" s="8" t="n"/>
      <c r="J130" s="8" t="n"/>
      <c r="K130">
        <f>IF(B130="","",SUMIFS(Videos!$F:$F,Videos!$B:$B,B130,Videos!$E:$E,A130))</f>
        <v/>
      </c>
      <c r="L130" s="3">
        <f>IF(OR(K130="",K130=0),"",(D130+E130)/K130*1000)</f>
        <v/>
      </c>
      <c r="M130" s="10">
        <f>IF(OR(B130="",D130+E130=0),"",G130/(D130+E130))</f>
        <v/>
      </c>
      <c r="N130" s="3">
        <f>IF(OR(K130="",K130=0),"",G130/K130*10000)</f>
        <v/>
      </c>
    </row>
    <row r="131">
      <c r="A131" s="9" t="n"/>
      <c r="B131" s="8" t="n"/>
      <c r="C131">
        <f>IF(B131="","",IFERROR(VLOOKUP(B131,Accounts!$A:$D,4,FALSE),""))</f>
        <v/>
      </c>
      <c r="D131" s="8" t="n"/>
      <c r="E131" s="8" t="n"/>
      <c r="F131" s="8" t="n"/>
      <c r="G131" s="8" t="n"/>
      <c r="H131" s="8" t="n"/>
      <c r="I131" s="8" t="n"/>
      <c r="J131" s="8" t="n"/>
      <c r="K131">
        <f>IF(B131="","",SUMIFS(Videos!$F:$F,Videos!$B:$B,B131,Videos!$E:$E,A131))</f>
        <v/>
      </c>
      <c r="L131" s="3">
        <f>IF(OR(K131="",K131=0),"",(D131+E131)/K131*1000)</f>
        <v/>
      </c>
      <c r="M131" s="10">
        <f>IF(OR(B131="",D131+E131=0),"",G131/(D131+E131))</f>
        <v/>
      </c>
      <c r="N131" s="3">
        <f>IF(OR(K131="",K131=0),"",G131/K131*10000)</f>
        <v/>
      </c>
    </row>
    <row r="132">
      <c r="A132" s="9" t="n"/>
      <c r="B132" s="8" t="n"/>
      <c r="C132">
        <f>IF(B132="","",IFERROR(VLOOKUP(B132,Accounts!$A:$D,4,FALSE),""))</f>
        <v/>
      </c>
      <c r="D132" s="8" t="n"/>
      <c r="E132" s="8" t="n"/>
      <c r="F132" s="8" t="n"/>
      <c r="G132" s="8" t="n"/>
      <c r="H132" s="8" t="n"/>
      <c r="I132" s="8" t="n"/>
      <c r="J132" s="8" t="n"/>
      <c r="K132">
        <f>IF(B132="","",SUMIFS(Videos!$F:$F,Videos!$B:$B,B132,Videos!$E:$E,A132))</f>
        <v/>
      </c>
      <c r="L132" s="3">
        <f>IF(OR(K132="",K132=0),"",(D132+E132)/K132*1000)</f>
        <v/>
      </c>
      <c r="M132" s="10">
        <f>IF(OR(B132="",D132+E132=0),"",G132/(D132+E132))</f>
        <v/>
      </c>
      <c r="N132" s="3">
        <f>IF(OR(K132="",K132=0),"",G132/K132*10000)</f>
        <v/>
      </c>
    </row>
    <row r="133">
      <c r="A133" s="9" t="n"/>
      <c r="B133" s="8" t="n"/>
      <c r="C133">
        <f>IF(B133="","",IFERROR(VLOOKUP(B133,Accounts!$A:$D,4,FALSE),""))</f>
        <v/>
      </c>
      <c r="D133" s="8" t="n"/>
      <c r="E133" s="8" t="n"/>
      <c r="F133" s="8" t="n"/>
      <c r="G133" s="8" t="n"/>
      <c r="H133" s="8" t="n"/>
      <c r="I133" s="8" t="n"/>
      <c r="J133" s="8" t="n"/>
      <c r="K133">
        <f>IF(B133="","",SUMIFS(Videos!$F:$F,Videos!$B:$B,B133,Videos!$E:$E,A133))</f>
        <v/>
      </c>
      <c r="L133" s="3">
        <f>IF(OR(K133="",K133=0),"",(D133+E133)/K133*1000)</f>
        <v/>
      </c>
      <c r="M133" s="10">
        <f>IF(OR(B133="",D133+E133=0),"",G133/(D133+E133))</f>
        <v/>
      </c>
      <c r="N133" s="3">
        <f>IF(OR(K133="",K133=0),"",G133/K133*10000)</f>
        <v/>
      </c>
    </row>
    <row r="134">
      <c r="A134" s="9" t="n"/>
      <c r="B134" s="8" t="n"/>
      <c r="C134">
        <f>IF(B134="","",IFERROR(VLOOKUP(B134,Accounts!$A:$D,4,FALSE),""))</f>
        <v/>
      </c>
      <c r="D134" s="8" t="n"/>
      <c r="E134" s="8" t="n"/>
      <c r="F134" s="8" t="n"/>
      <c r="G134" s="8" t="n"/>
      <c r="H134" s="8" t="n"/>
      <c r="I134" s="8" t="n"/>
      <c r="J134" s="8" t="n"/>
      <c r="K134">
        <f>IF(B134="","",SUMIFS(Videos!$F:$F,Videos!$B:$B,B134,Videos!$E:$E,A134))</f>
        <v/>
      </c>
      <c r="L134" s="3">
        <f>IF(OR(K134="",K134=0),"",(D134+E134)/K134*1000)</f>
        <v/>
      </c>
      <c r="M134" s="10">
        <f>IF(OR(B134="",D134+E134=0),"",G134/(D134+E134))</f>
        <v/>
      </c>
      <c r="N134" s="3">
        <f>IF(OR(K134="",K134=0),"",G134/K134*10000)</f>
        <v/>
      </c>
    </row>
    <row r="135">
      <c r="A135" s="9" t="n"/>
      <c r="B135" s="8" t="n"/>
      <c r="C135">
        <f>IF(B135="","",IFERROR(VLOOKUP(B135,Accounts!$A:$D,4,FALSE),""))</f>
        <v/>
      </c>
      <c r="D135" s="8" t="n"/>
      <c r="E135" s="8" t="n"/>
      <c r="F135" s="8" t="n"/>
      <c r="G135" s="8" t="n"/>
      <c r="H135" s="8" t="n"/>
      <c r="I135" s="8" t="n"/>
      <c r="J135" s="8" t="n"/>
      <c r="K135">
        <f>IF(B135="","",SUMIFS(Videos!$F:$F,Videos!$B:$B,B135,Videos!$E:$E,A135))</f>
        <v/>
      </c>
      <c r="L135" s="3">
        <f>IF(OR(K135="",K135=0),"",(D135+E135)/K135*1000)</f>
        <v/>
      </c>
      <c r="M135" s="10">
        <f>IF(OR(B135="",D135+E135=0),"",G135/(D135+E135))</f>
        <v/>
      </c>
      <c r="N135" s="3">
        <f>IF(OR(K135="",K135=0),"",G135/K135*10000)</f>
        <v/>
      </c>
    </row>
    <row r="136">
      <c r="A136" s="9" t="n"/>
      <c r="B136" s="8" t="n"/>
      <c r="C136">
        <f>IF(B136="","",IFERROR(VLOOKUP(B136,Accounts!$A:$D,4,FALSE),""))</f>
        <v/>
      </c>
      <c r="D136" s="8" t="n"/>
      <c r="E136" s="8" t="n"/>
      <c r="F136" s="8" t="n"/>
      <c r="G136" s="8" t="n"/>
      <c r="H136" s="8" t="n"/>
      <c r="I136" s="8" t="n"/>
      <c r="J136" s="8" t="n"/>
      <c r="K136">
        <f>IF(B136="","",SUMIFS(Videos!$F:$F,Videos!$B:$B,B136,Videos!$E:$E,A136))</f>
        <v/>
      </c>
      <c r="L136" s="3">
        <f>IF(OR(K136="",K136=0),"",(D136+E136)/K136*1000)</f>
        <v/>
      </c>
      <c r="M136" s="10">
        <f>IF(OR(B136="",D136+E136=0),"",G136/(D136+E136))</f>
        <v/>
      </c>
      <c r="N136" s="3">
        <f>IF(OR(K136="",K136=0),"",G136/K136*10000)</f>
        <v/>
      </c>
    </row>
    <row r="137">
      <c r="A137" s="9" t="n"/>
      <c r="B137" s="8" t="n"/>
      <c r="C137">
        <f>IF(B137="","",IFERROR(VLOOKUP(B137,Accounts!$A:$D,4,FALSE),""))</f>
        <v/>
      </c>
      <c r="D137" s="8" t="n"/>
      <c r="E137" s="8" t="n"/>
      <c r="F137" s="8" t="n"/>
      <c r="G137" s="8" t="n"/>
      <c r="H137" s="8" t="n"/>
      <c r="I137" s="8" t="n"/>
      <c r="J137" s="8" t="n"/>
      <c r="K137">
        <f>IF(B137="","",SUMIFS(Videos!$F:$F,Videos!$B:$B,B137,Videos!$E:$E,A137))</f>
        <v/>
      </c>
      <c r="L137" s="3">
        <f>IF(OR(K137="",K137=0),"",(D137+E137)/K137*1000)</f>
        <v/>
      </c>
      <c r="M137" s="10">
        <f>IF(OR(B137="",D137+E137=0),"",G137/(D137+E137))</f>
        <v/>
      </c>
      <c r="N137" s="3">
        <f>IF(OR(K137="",K137=0),"",G137/K137*10000)</f>
        <v/>
      </c>
    </row>
    <row r="138">
      <c r="A138" s="9" t="n"/>
      <c r="B138" s="8" t="n"/>
      <c r="C138">
        <f>IF(B138="","",IFERROR(VLOOKUP(B138,Accounts!$A:$D,4,FALSE),""))</f>
        <v/>
      </c>
      <c r="D138" s="8" t="n"/>
      <c r="E138" s="8" t="n"/>
      <c r="F138" s="8" t="n"/>
      <c r="G138" s="8" t="n"/>
      <c r="H138" s="8" t="n"/>
      <c r="I138" s="8" t="n"/>
      <c r="J138" s="8" t="n"/>
      <c r="K138">
        <f>IF(B138="","",SUMIFS(Videos!$F:$F,Videos!$B:$B,B138,Videos!$E:$E,A138))</f>
        <v/>
      </c>
      <c r="L138" s="3">
        <f>IF(OR(K138="",K138=0),"",(D138+E138)/K138*1000)</f>
        <v/>
      </c>
      <c r="M138" s="10">
        <f>IF(OR(B138="",D138+E138=0),"",G138/(D138+E138))</f>
        <v/>
      </c>
      <c r="N138" s="3">
        <f>IF(OR(K138="",K138=0),"",G138/K138*10000)</f>
        <v/>
      </c>
    </row>
    <row r="139">
      <c r="A139" s="9" t="n"/>
      <c r="B139" s="8" t="n"/>
      <c r="C139">
        <f>IF(B139="","",IFERROR(VLOOKUP(B139,Accounts!$A:$D,4,FALSE),""))</f>
        <v/>
      </c>
      <c r="D139" s="8" t="n"/>
      <c r="E139" s="8" t="n"/>
      <c r="F139" s="8" t="n"/>
      <c r="G139" s="8" t="n"/>
      <c r="H139" s="8" t="n"/>
      <c r="I139" s="8" t="n"/>
      <c r="J139" s="8" t="n"/>
      <c r="K139">
        <f>IF(B139="","",SUMIFS(Videos!$F:$F,Videos!$B:$B,B139,Videos!$E:$E,A139))</f>
        <v/>
      </c>
      <c r="L139" s="3">
        <f>IF(OR(K139="",K139=0),"",(D139+E139)/K139*1000)</f>
        <v/>
      </c>
      <c r="M139" s="10">
        <f>IF(OR(B139="",D139+E139=0),"",G139/(D139+E139))</f>
        <v/>
      </c>
      <c r="N139" s="3">
        <f>IF(OR(K139="",K139=0),"",G139/K139*10000)</f>
        <v/>
      </c>
    </row>
    <row r="140">
      <c r="A140" s="9" t="n"/>
      <c r="B140" s="8" t="n"/>
      <c r="C140">
        <f>IF(B140="","",IFERROR(VLOOKUP(B140,Accounts!$A:$D,4,FALSE),""))</f>
        <v/>
      </c>
      <c r="D140" s="8" t="n"/>
      <c r="E140" s="8" t="n"/>
      <c r="F140" s="8" t="n"/>
      <c r="G140" s="8" t="n"/>
      <c r="H140" s="8" t="n"/>
      <c r="I140" s="8" t="n"/>
      <c r="J140" s="8" t="n"/>
      <c r="K140">
        <f>IF(B140="","",SUMIFS(Videos!$F:$F,Videos!$B:$B,B140,Videos!$E:$E,A140))</f>
        <v/>
      </c>
      <c r="L140" s="3">
        <f>IF(OR(K140="",K140=0),"",(D140+E140)/K140*1000)</f>
        <v/>
      </c>
      <c r="M140" s="10">
        <f>IF(OR(B140="",D140+E140=0),"",G140/(D140+E140))</f>
        <v/>
      </c>
      <c r="N140" s="3">
        <f>IF(OR(K140="",K140=0),"",G140/K140*10000)</f>
        <v/>
      </c>
    </row>
    <row r="141">
      <c r="A141" s="9" t="n"/>
      <c r="B141" s="8" t="n"/>
      <c r="C141">
        <f>IF(B141="","",IFERROR(VLOOKUP(B141,Accounts!$A:$D,4,FALSE),""))</f>
        <v/>
      </c>
      <c r="D141" s="8" t="n"/>
      <c r="E141" s="8" t="n"/>
      <c r="F141" s="8" t="n"/>
      <c r="G141" s="8" t="n"/>
      <c r="H141" s="8" t="n"/>
      <c r="I141" s="8" t="n"/>
      <c r="J141" s="8" t="n"/>
      <c r="K141">
        <f>IF(B141="","",SUMIFS(Videos!$F:$F,Videos!$B:$B,B141,Videos!$E:$E,A141))</f>
        <v/>
      </c>
      <c r="L141" s="3">
        <f>IF(OR(K141="",K141=0),"",(D141+E141)/K141*1000)</f>
        <v/>
      </c>
      <c r="M141" s="10">
        <f>IF(OR(B141="",D141+E141=0),"",G141/(D141+E141))</f>
        <v/>
      </c>
      <c r="N141" s="3">
        <f>IF(OR(K141="",K141=0),"",G141/K141*10000)</f>
        <v/>
      </c>
    </row>
    <row r="142">
      <c r="A142" s="9" t="n"/>
      <c r="B142" s="8" t="n"/>
      <c r="C142">
        <f>IF(B142="","",IFERROR(VLOOKUP(B142,Accounts!$A:$D,4,FALSE),""))</f>
        <v/>
      </c>
      <c r="D142" s="8" t="n"/>
      <c r="E142" s="8" t="n"/>
      <c r="F142" s="8" t="n"/>
      <c r="G142" s="8" t="n"/>
      <c r="H142" s="8" t="n"/>
      <c r="I142" s="8" t="n"/>
      <c r="J142" s="8" t="n"/>
      <c r="K142">
        <f>IF(B142="","",SUMIFS(Videos!$F:$F,Videos!$B:$B,B142,Videos!$E:$E,A142))</f>
        <v/>
      </c>
      <c r="L142" s="3">
        <f>IF(OR(K142="",K142=0),"",(D142+E142)/K142*1000)</f>
        <v/>
      </c>
      <c r="M142" s="10">
        <f>IF(OR(B142="",D142+E142=0),"",G142/(D142+E142))</f>
        <v/>
      </c>
      <c r="N142" s="3">
        <f>IF(OR(K142="",K142=0),"",G142/K142*10000)</f>
        <v/>
      </c>
    </row>
    <row r="143">
      <c r="A143" s="9" t="n"/>
      <c r="B143" s="8" t="n"/>
      <c r="C143">
        <f>IF(B143="","",IFERROR(VLOOKUP(B143,Accounts!$A:$D,4,FALSE),""))</f>
        <v/>
      </c>
      <c r="D143" s="8" t="n"/>
      <c r="E143" s="8" t="n"/>
      <c r="F143" s="8" t="n"/>
      <c r="G143" s="8" t="n"/>
      <c r="H143" s="8" t="n"/>
      <c r="I143" s="8" t="n"/>
      <c r="J143" s="8" t="n"/>
      <c r="K143">
        <f>IF(B143="","",SUMIFS(Videos!$F:$F,Videos!$B:$B,B143,Videos!$E:$E,A143))</f>
        <v/>
      </c>
      <c r="L143" s="3">
        <f>IF(OR(K143="",K143=0),"",(D143+E143)/K143*1000)</f>
        <v/>
      </c>
      <c r="M143" s="10">
        <f>IF(OR(B143="",D143+E143=0),"",G143/(D143+E143))</f>
        <v/>
      </c>
      <c r="N143" s="3">
        <f>IF(OR(K143="",K143=0),"",G143/K143*10000)</f>
        <v/>
      </c>
    </row>
    <row r="144">
      <c r="A144" s="9" t="n"/>
      <c r="B144" s="8" t="n"/>
      <c r="C144">
        <f>IF(B144="","",IFERROR(VLOOKUP(B144,Accounts!$A:$D,4,FALSE),""))</f>
        <v/>
      </c>
      <c r="D144" s="8" t="n"/>
      <c r="E144" s="8" t="n"/>
      <c r="F144" s="8" t="n"/>
      <c r="G144" s="8" t="n"/>
      <c r="H144" s="8" t="n"/>
      <c r="I144" s="8" t="n"/>
      <c r="J144" s="8" t="n"/>
      <c r="K144">
        <f>IF(B144="","",SUMIFS(Videos!$F:$F,Videos!$B:$B,B144,Videos!$E:$E,A144))</f>
        <v/>
      </c>
      <c r="L144" s="3">
        <f>IF(OR(K144="",K144=0),"",(D144+E144)/K144*1000)</f>
        <v/>
      </c>
      <c r="M144" s="10">
        <f>IF(OR(B144="",D144+E144=0),"",G144/(D144+E144))</f>
        <v/>
      </c>
      <c r="N144" s="3">
        <f>IF(OR(K144="",K144=0),"",G144/K144*10000)</f>
        <v/>
      </c>
    </row>
    <row r="145">
      <c r="A145" s="9" t="n"/>
      <c r="B145" s="8" t="n"/>
      <c r="C145">
        <f>IF(B145="","",IFERROR(VLOOKUP(B145,Accounts!$A:$D,4,FALSE),""))</f>
        <v/>
      </c>
      <c r="D145" s="8" t="n"/>
      <c r="E145" s="8" t="n"/>
      <c r="F145" s="8" t="n"/>
      <c r="G145" s="8" t="n"/>
      <c r="H145" s="8" t="n"/>
      <c r="I145" s="8" t="n"/>
      <c r="J145" s="8" t="n"/>
      <c r="K145">
        <f>IF(B145="","",SUMIFS(Videos!$F:$F,Videos!$B:$B,B145,Videos!$E:$E,A145))</f>
        <v/>
      </c>
      <c r="L145" s="3">
        <f>IF(OR(K145="",K145=0),"",(D145+E145)/K145*1000)</f>
        <v/>
      </c>
      <c r="M145" s="10">
        <f>IF(OR(B145="",D145+E145=0),"",G145/(D145+E145))</f>
        <v/>
      </c>
      <c r="N145" s="3">
        <f>IF(OR(K145="",K145=0),"",G145/K145*10000)</f>
        <v/>
      </c>
    </row>
    <row r="146">
      <c r="A146" s="9" t="n"/>
      <c r="B146" s="8" t="n"/>
      <c r="C146">
        <f>IF(B146="","",IFERROR(VLOOKUP(B146,Accounts!$A:$D,4,FALSE),""))</f>
        <v/>
      </c>
      <c r="D146" s="8" t="n"/>
      <c r="E146" s="8" t="n"/>
      <c r="F146" s="8" t="n"/>
      <c r="G146" s="8" t="n"/>
      <c r="H146" s="8" t="n"/>
      <c r="I146" s="8" t="n"/>
      <c r="J146" s="8" t="n"/>
      <c r="K146">
        <f>IF(B146="","",SUMIFS(Videos!$F:$F,Videos!$B:$B,B146,Videos!$E:$E,A146))</f>
        <v/>
      </c>
      <c r="L146" s="3">
        <f>IF(OR(K146="",K146=0),"",(D146+E146)/K146*1000)</f>
        <v/>
      </c>
      <c r="M146" s="10">
        <f>IF(OR(B146="",D146+E146=0),"",G146/(D146+E146))</f>
        <v/>
      </c>
      <c r="N146" s="3">
        <f>IF(OR(K146="",K146=0),"",G146/K146*10000)</f>
        <v/>
      </c>
    </row>
    <row r="147">
      <c r="A147" s="9" t="n"/>
      <c r="B147" s="8" t="n"/>
      <c r="C147">
        <f>IF(B147="","",IFERROR(VLOOKUP(B147,Accounts!$A:$D,4,FALSE),""))</f>
        <v/>
      </c>
      <c r="D147" s="8" t="n"/>
      <c r="E147" s="8" t="n"/>
      <c r="F147" s="8" t="n"/>
      <c r="G147" s="8" t="n"/>
      <c r="H147" s="8" t="n"/>
      <c r="I147" s="8" t="n"/>
      <c r="J147" s="8" t="n"/>
      <c r="K147">
        <f>IF(B147="","",SUMIFS(Videos!$F:$F,Videos!$B:$B,B147,Videos!$E:$E,A147))</f>
        <v/>
      </c>
      <c r="L147" s="3">
        <f>IF(OR(K147="",K147=0),"",(D147+E147)/K147*1000)</f>
        <v/>
      </c>
      <c r="M147" s="10">
        <f>IF(OR(B147="",D147+E147=0),"",G147/(D147+E147))</f>
        <v/>
      </c>
      <c r="N147" s="3">
        <f>IF(OR(K147="",K147=0),"",G147/K147*10000)</f>
        <v/>
      </c>
    </row>
    <row r="148">
      <c r="A148" s="9" t="n"/>
      <c r="B148" s="8" t="n"/>
      <c r="C148">
        <f>IF(B148="","",IFERROR(VLOOKUP(B148,Accounts!$A:$D,4,FALSE),""))</f>
        <v/>
      </c>
      <c r="D148" s="8" t="n"/>
      <c r="E148" s="8" t="n"/>
      <c r="F148" s="8" t="n"/>
      <c r="G148" s="8" t="n"/>
      <c r="H148" s="8" t="n"/>
      <c r="I148" s="8" t="n"/>
      <c r="J148" s="8" t="n"/>
      <c r="K148">
        <f>IF(B148="","",SUMIFS(Videos!$F:$F,Videos!$B:$B,B148,Videos!$E:$E,A148))</f>
        <v/>
      </c>
      <c r="L148" s="3">
        <f>IF(OR(K148="",K148=0),"",(D148+E148)/K148*1000)</f>
        <v/>
      </c>
      <c r="M148" s="10">
        <f>IF(OR(B148="",D148+E148=0),"",G148/(D148+E148))</f>
        <v/>
      </c>
      <c r="N148" s="3">
        <f>IF(OR(K148="",K148=0),"",G148/K148*10000)</f>
        <v/>
      </c>
    </row>
    <row r="149">
      <c r="A149" s="9" t="n"/>
      <c r="B149" s="8" t="n"/>
      <c r="C149">
        <f>IF(B149="","",IFERROR(VLOOKUP(B149,Accounts!$A:$D,4,FALSE),""))</f>
        <v/>
      </c>
      <c r="D149" s="8" t="n"/>
      <c r="E149" s="8" t="n"/>
      <c r="F149" s="8" t="n"/>
      <c r="G149" s="8" t="n"/>
      <c r="H149" s="8" t="n"/>
      <c r="I149" s="8" t="n"/>
      <c r="J149" s="8" t="n"/>
      <c r="K149">
        <f>IF(B149="","",SUMIFS(Videos!$F:$F,Videos!$B:$B,B149,Videos!$E:$E,A149))</f>
        <v/>
      </c>
      <c r="L149" s="3">
        <f>IF(OR(K149="",K149=0),"",(D149+E149)/K149*1000)</f>
        <v/>
      </c>
      <c r="M149" s="10">
        <f>IF(OR(B149="",D149+E149=0),"",G149/(D149+E149))</f>
        <v/>
      </c>
      <c r="N149" s="3">
        <f>IF(OR(K149="",K149=0),"",G149/K149*10000)</f>
        <v/>
      </c>
    </row>
    <row r="150">
      <c r="A150" s="9" t="n"/>
      <c r="B150" s="8" t="n"/>
      <c r="C150">
        <f>IF(B150="","",IFERROR(VLOOKUP(B150,Accounts!$A:$D,4,FALSE),""))</f>
        <v/>
      </c>
      <c r="D150" s="8" t="n"/>
      <c r="E150" s="8" t="n"/>
      <c r="F150" s="8" t="n"/>
      <c r="G150" s="8" t="n"/>
      <c r="H150" s="8" t="n"/>
      <c r="I150" s="8" t="n"/>
      <c r="J150" s="8" t="n"/>
      <c r="K150">
        <f>IF(B150="","",SUMIFS(Videos!$F:$F,Videos!$B:$B,B150,Videos!$E:$E,A150))</f>
        <v/>
      </c>
      <c r="L150" s="3">
        <f>IF(OR(K150="",K150=0),"",(D150+E150)/K150*1000)</f>
        <v/>
      </c>
      <c r="M150" s="10">
        <f>IF(OR(B150="",D150+E150=0),"",G150/(D150+E150))</f>
        <v/>
      </c>
      <c r="N150" s="3">
        <f>IF(OR(K150="",K150=0),"",G150/K150*10000)</f>
        <v/>
      </c>
    </row>
    <row r="151">
      <c r="A151" s="9" t="n"/>
      <c r="B151" s="8" t="n"/>
      <c r="C151">
        <f>IF(B151="","",IFERROR(VLOOKUP(B151,Accounts!$A:$D,4,FALSE),""))</f>
        <v/>
      </c>
      <c r="D151" s="8" t="n"/>
      <c r="E151" s="8" t="n"/>
      <c r="F151" s="8" t="n"/>
      <c r="G151" s="8" t="n"/>
      <c r="H151" s="8" t="n"/>
      <c r="I151" s="8" t="n"/>
      <c r="J151" s="8" t="n"/>
      <c r="K151">
        <f>IF(B151="","",SUMIFS(Videos!$F:$F,Videos!$B:$B,B151,Videos!$E:$E,A151))</f>
        <v/>
      </c>
      <c r="L151" s="3">
        <f>IF(OR(K151="",K151=0),"",(D151+E151)/K151*1000)</f>
        <v/>
      </c>
      <c r="M151" s="10">
        <f>IF(OR(B151="",D151+E151=0),"",G151/(D151+E151))</f>
        <v/>
      </c>
      <c r="N151" s="3">
        <f>IF(OR(K151="",K151=0),"",G151/K151*10000)</f>
        <v/>
      </c>
    </row>
    <row r="152">
      <c r="A152" s="9" t="n"/>
      <c r="B152" s="8" t="n"/>
      <c r="C152">
        <f>IF(B152="","",IFERROR(VLOOKUP(B152,Accounts!$A:$D,4,FALSE),""))</f>
        <v/>
      </c>
      <c r="D152" s="8" t="n"/>
      <c r="E152" s="8" t="n"/>
      <c r="F152" s="8" t="n"/>
      <c r="G152" s="8" t="n"/>
      <c r="H152" s="8" t="n"/>
      <c r="I152" s="8" t="n"/>
      <c r="J152" s="8" t="n"/>
      <c r="K152">
        <f>IF(B152="","",SUMIFS(Videos!$F:$F,Videos!$B:$B,B152,Videos!$E:$E,A152))</f>
        <v/>
      </c>
      <c r="L152" s="3">
        <f>IF(OR(K152="",K152=0),"",(D152+E152)/K152*1000)</f>
        <v/>
      </c>
      <c r="M152" s="10">
        <f>IF(OR(B152="",D152+E152=0),"",G152/(D152+E152))</f>
        <v/>
      </c>
      <c r="N152" s="3">
        <f>IF(OR(K152="",K152=0),"",G152/K152*10000)</f>
        <v/>
      </c>
    </row>
    <row r="153">
      <c r="A153" s="9" t="n"/>
      <c r="B153" s="8" t="n"/>
      <c r="C153">
        <f>IF(B153="","",IFERROR(VLOOKUP(B153,Accounts!$A:$D,4,FALSE),""))</f>
        <v/>
      </c>
      <c r="D153" s="8" t="n"/>
      <c r="E153" s="8" t="n"/>
      <c r="F153" s="8" t="n"/>
      <c r="G153" s="8" t="n"/>
      <c r="H153" s="8" t="n"/>
      <c r="I153" s="8" t="n"/>
      <c r="J153" s="8" t="n"/>
      <c r="K153">
        <f>IF(B153="","",SUMIFS(Videos!$F:$F,Videos!$B:$B,B153,Videos!$E:$E,A153))</f>
        <v/>
      </c>
      <c r="L153" s="3">
        <f>IF(OR(K153="",K153=0),"",(D153+E153)/K153*1000)</f>
        <v/>
      </c>
      <c r="M153" s="10">
        <f>IF(OR(B153="",D153+E153=0),"",G153/(D153+E153))</f>
        <v/>
      </c>
      <c r="N153" s="3">
        <f>IF(OR(K153="",K153=0),"",G153/K153*10000)</f>
        <v/>
      </c>
    </row>
    <row r="154">
      <c r="A154" s="9" t="n"/>
      <c r="B154" s="8" t="n"/>
      <c r="C154">
        <f>IF(B154="","",IFERROR(VLOOKUP(B154,Accounts!$A:$D,4,FALSE),""))</f>
        <v/>
      </c>
      <c r="D154" s="8" t="n"/>
      <c r="E154" s="8" t="n"/>
      <c r="F154" s="8" t="n"/>
      <c r="G154" s="8" t="n"/>
      <c r="H154" s="8" t="n"/>
      <c r="I154" s="8" t="n"/>
      <c r="J154" s="8" t="n"/>
      <c r="K154">
        <f>IF(B154="","",SUMIFS(Videos!$F:$F,Videos!$B:$B,B154,Videos!$E:$E,A154))</f>
        <v/>
      </c>
      <c r="L154" s="3">
        <f>IF(OR(K154="",K154=0),"",(D154+E154)/K154*1000)</f>
        <v/>
      </c>
      <c r="M154" s="10">
        <f>IF(OR(B154="",D154+E154=0),"",G154/(D154+E154))</f>
        <v/>
      </c>
      <c r="N154" s="3">
        <f>IF(OR(K154="",K154=0),"",G154/K154*10000)</f>
        <v/>
      </c>
    </row>
    <row r="155">
      <c r="A155" s="9" t="n"/>
      <c r="B155" s="8" t="n"/>
      <c r="C155">
        <f>IF(B155="","",IFERROR(VLOOKUP(B155,Accounts!$A:$D,4,FALSE),""))</f>
        <v/>
      </c>
      <c r="D155" s="8" t="n"/>
      <c r="E155" s="8" t="n"/>
      <c r="F155" s="8" t="n"/>
      <c r="G155" s="8" t="n"/>
      <c r="H155" s="8" t="n"/>
      <c r="I155" s="8" t="n"/>
      <c r="J155" s="8" t="n"/>
      <c r="K155">
        <f>IF(B155="","",SUMIFS(Videos!$F:$F,Videos!$B:$B,B155,Videos!$E:$E,A155))</f>
        <v/>
      </c>
      <c r="L155" s="3">
        <f>IF(OR(K155="",K155=0),"",(D155+E155)/K155*1000)</f>
        <v/>
      </c>
      <c r="M155" s="10">
        <f>IF(OR(B155="",D155+E155=0),"",G155/(D155+E155))</f>
        <v/>
      </c>
      <c r="N155" s="3">
        <f>IF(OR(K155="",K155=0),"",G155/K155*10000)</f>
        <v/>
      </c>
    </row>
    <row r="156">
      <c r="A156" s="9" t="n"/>
      <c r="B156" s="8" t="n"/>
      <c r="C156">
        <f>IF(B156="","",IFERROR(VLOOKUP(B156,Accounts!$A:$D,4,FALSE),""))</f>
        <v/>
      </c>
      <c r="D156" s="8" t="n"/>
      <c r="E156" s="8" t="n"/>
      <c r="F156" s="8" t="n"/>
      <c r="G156" s="8" t="n"/>
      <c r="H156" s="8" t="n"/>
      <c r="I156" s="8" t="n"/>
      <c r="J156" s="8" t="n"/>
      <c r="K156">
        <f>IF(B156="","",SUMIFS(Videos!$F:$F,Videos!$B:$B,B156,Videos!$E:$E,A156))</f>
        <v/>
      </c>
      <c r="L156" s="3">
        <f>IF(OR(K156="",K156=0),"",(D156+E156)/K156*1000)</f>
        <v/>
      </c>
      <c r="M156" s="10">
        <f>IF(OR(B156="",D156+E156=0),"",G156/(D156+E156))</f>
        <v/>
      </c>
      <c r="N156" s="3">
        <f>IF(OR(K156="",K156=0),"",G156/K156*10000)</f>
        <v/>
      </c>
    </row>
    <row r="157">
      <c r="A157" s="9" t="n"/>
      <c r="B157" s="8" t="n"/>
      <c r="C157">
        <f>IF(B157="","",IFERROR(VLOOKUP(B157,Accounts!$A:$D,4,FALSE),""))</f>
        <v/>
      </c>
      <c r="D157" s="8" t="n"/>
      <c r="E157" s="8" t="n"/>
      <c r="F157" s="8" t="n"/>
      <c r="G157" s="8" t="n"/>
      <c r="H157" s="8" t="n"/>
      <c r="I157" s="8" t="n"/>
      <c r="J157" s="8" t="n"/>
      <c r="K157">
        <f>IF(B157="","",SUMIFS(Videos!$F:$F,Videos!$B:$B,B157,Videos!$E:$E,A157))</f>
        <v/>
      </c>
      <c r="L157" s="3">
        <f>IF(OR(K157="",K157=0),"",(D157+E157)/K157*1000)</f>
        <v/>
      </c>
      <c r="M157" s="10">
        <f>IF(OR(B157="",D157+E157=0),"",G157/(D157+E157))</f>
        <v/>
      </c>
      <c r="N157" s="3">
        <f>IF(OR(K157="",K157=0),"",G157/K157*10000)</f>
        <v/>
      </c>
    </row>
    <row r="158">
      <c r="A158" s="9" t="n"/>
      <c r="B158" s="8" t="n"/>
      <c r="C158">
        <f>IF(B158="","",IFERROR(VLOOKUP(B158,Accounts!$A:$D,4,FALSE),""))</f>
        <v/>
      </c>
      <c r="D158" s="8" t="n"/>
      <c r="E158" s="8" t="n"/>
      <c r="F158" s="8" t="n"/>
      <c r="G158" s="8" t="n"/>
      <c r="H158" s="8" t="n"/>
      <c r="I158" s="8" t="n"/>
      <c r="J158" s="8" t="n"/>
      <c r="K158">
        <f>IF(B158="","",SUMIFS(Videos!$F:$F,Videos!$B:$B,B158,Videos!$E:$E,A158))</f>
        <v/>
      </c>
      <c r="L158" s="3">
        <f>IF(OR(K158="",K158=0),"",(D158+E158)/K158*1000)</f>
        <v/>
      </c>
      <c r="M158" s="10">
        <f>IF(OR(B158="",D158+E158=0),"",G158/(D158+E158))</f>
        <v/>
      </c>
      <c r="N158" s="3">
        <f>IF(OR(K158="",K158=0),"",G158/K158*10000)</f>
        <v/>
      </c>
    </row>
    <row r="159">
      <c r="A159" s="9" t="n"/>
      <c r="B159" s="8" t="n"/>
      <c r="C159">
        <f>IF(B159="","",IFERROR(VLOOKUP(B159,Accounts!$A:$D,4,FALSE),""))</f>
        <v/>
      </c>
      <c r="D159" s="8" t="n"/>
      <c r="E159" s="8" t="n"/>
      <c r="F159" s="8" t="n"/>
      <c r="G159" s="8" t="n"/>
      <c r="H159" s="8" t="n"/>
      <c r="I159" s="8" t="n"/>
      <c r="J159" s="8" t="n"/>
      <c r="K159">
        <f>IF(B159="","",SUMIFS(Videos!$F:$F,Videos!$B:$B,B159,Videos!$E:$E,A159))</f>
        <v/>
      </c>
      <c r="L159" s="3">
        <f>IF(OR(K159="",K159=0),"",(D159+E159)/K159*1000)</f>
        <v/>
      </c>
      <c r="M159" s="10">
        <f>IF(OR(B159="",D159+E159=0),"",G159/(D159+E159))</f>
        <v/>
      </c>
      <c r="N159" s="3">
        <f>IF(OR(K159="",K159=0),"",G159/K159*10000)</f>
        <v/>
      </c>
    </row>
    <row r="160">
      <c r="A160" s="9" t="n"/>
      <c r="B160" s="8" t="n"/>
      <c r="C160">
        <f>IF(B160="","",IFERROR(VLOOKUP(B160,Accounts!$A:$D,4,FALSE),""))</f>
        <v/>
      </c>
      <c r="D160" s="8" t="n"/>
      <c r="E160" s="8" t="n"/>
      <c r="F160" s="8" t="n"/>
      <c r="G160" s="8" t="n"/>
      <c r="H160" s="8" t="n"/>
      <c r="I160" s="8" t="n"/>
      <c r="J160" s="8" t="n"/>
      <c r="K160">
        <f>IF(B160="","",SUMIFS(Videos!$F:$F,Videos!$B:$B,B160,Videos!$E:$E,A160))</f>
        <v/>
      </c>
      <c r="L160" s="3">
        <f>IF(OR(K160="",K160=0),"",(D160+E160)/K160*1000)</f>
        <v/>
      </c>
      <c r="M160" s="10">
        <f>IF(OR(B160="",D160+E160=0),"",G160/(D160+E160))</f>
        <v/>
      </c>
      <c r="N160" s="3">
        <f>IF(OR(K160="",K160=0),"",G160/K160*10000)</f>
        <v/>
      </c>
    </row>
    <row r="161">
      <c r="A161" s="9" t="n"/>
      <c r="B161" s="8" t="n"/>
      <c r="C161">
        <f>IF(B161="","",IFERROR(VLOOKUP(B161,Accounts!$A:$D,4,FALSE),""))</f>
        <v/>
      </c>
      <c r="D161" s="8" t="n"/>
      <c r="E161" s="8" t="n"/>
      <c r="F161" s="8" t="n"/>
      <c r="G161" s="8" t="n"/>
      <c r="H161" s="8" t="n"/>
      <c r="I161" s="8" t="n"/>
      <c r="J161" s="8" t="n"/>
      <c r="K161">
        <f>IF(B161="","",SUMIFS(Videos!$F:$F,Videos!$B:$B,B161,Videos!$E:$E,A161))</f>
        <v/>
      </c>
      <c r="L161" s="3">
        <f>IF(OR(K161="",K161=0),"",(D161+E161)/K161*1000)</f>
        <v/>
      </c>
      <c r="M161" s="10">
        <f>IF(OR(B161="",D161+E161=0),"",G161/(D161+E161))</f>
        <v/>
      </c>
      <c r="N161" s="3">
        <f>IF(OR(K161="",K161=0),"",G161/K161*10000)</f>
        <v/>
      </c>
    </row>
    <row r="162">
      <c r="A162" s="9" t="n"/>
      <c r="B162" s="8" t="n"/>
      <c r="C162">
        <f>IF(B162="","",IFERROR(VLOOKUP(B162,Accounts!$A:$D,4,FALSE),""))</f>
        <v/>
      </c>
      <c r="D162" s="8" t="n"/>
      <c r="E162" s="8" t="n"/>
      <c r="F162" s="8" t="n"/>
      <c r="G162" s="8" t="n"/>
      <c r="H162" s="8" t="n"/>
      <c r="I162" s="8" t="n"/>
      <c r="J162" s="8" t="n"/>
      <c r="K162">
        <f>IF(B162="","",SUMIFS(Videos!$F:$F,Videos!$B:$B,B162,Videos!$E:$E,A162))</f>
        <v/>
      </c>
      <c r="L162" s="3">
        <f>IF(OR(K162="",K162=0),"",(D162+E162)/K162*1000)</f>
        <v/>
      </c>
      <c r="M162" s="10">
        <f>IF(OR(B162="",D162+E162=0),"",G162/(D162+E162))</f>
        <v/>
      </c>
      <c r="N162" s="3">
        <f>IF(OR(K162="",K162=0),"",G162/K162*10000)</f>
        <v/>
      </c>
    </row>
    <row r="163">
      <c r="A163" s="9" t="n"/>
      <c r="B163" s="8" t="n"/>
      <c r="C163">
        <f>IF(B163="","",IFERROR(VLOOKUP(B163,Accounts!$A:$D,4,FALSE),""))</f>
        <v/>
      </c>
      <c r="D163" s="8" t="n"/>
      <c r="E163" s="8" t="n"/>
      <c r="F163" s="8" t="n"/>
      <c r="G163" s="8" t="n"/>
      <c r="H163" s="8" t="n"/>
      <c r="I163" s="8" t="n"/>
      <c r="J163" s="8" t="n"/>
      <c r="K163">
        <f>IF(B163="","",SUMIFS(Videos!$F:$F,Videos!$B:$B,B163,Videos!$E:$E,A163))</f>
        <v/>
      </c>
      <c r="L163" s="3">
        <f>IF(OR(K163="",K163=0),"",(D163+E163)/K163*1000)</f>
        <v/>
      </c>
      <c r="M163" s="10">
        <f>IF(OR(B163="",D163+E163=0),"",G163/(D163+E163))</f>
        <v/>
      </c>
      <c r="N163" s="3">
        <f>IF(OR(K163="",K163=0),"",G163/K163*10000)</f>
        <v/>
      </c>
    </row>
    <row r="164">
      <c r="A164" s="9" t="n"/>
      <c r="B164" s="8" t="n"/>
      <c r="C164">
        <f>IF(B164="","",IFERROR(VLOOKUP(B164,Accounts!$A:$D,4,FALSE),""))</f>
        <v/>
      </c>
      <c r="D164" s="8" t="n"/>
      <c r="E164" s="8" t="n"/>
      <c r="F164" s="8" t="n"/>
      <c r="G164" s="8" t="n"/>
      <c r="H164" s="8" t="n"/>
      <c r="I164" s="8" t="n"/>
      <c r="J164" s="8" t="n"/>
      <c r="K164">
        <f>IF(B164="","",SUMIFS(Videos!$F:$F,Videos!$B:$B,B164,Videos!$E:$E,A164))</f>
        <v/>
      </c>
      <c r="L164" s="3">
        <f>IF(OR(K164="",K164=0),"",(D164+E164)/K164*1000)</f>
        <v/>
      </c>
      <c r="M164" s="10">
        <f>IF(OR(B164="",D164+E164=0),"",G164/(D164+E164))</f>
        <v/>
      </c>
      <c r="N164" s="3">
        <f>IF(OR(K164="",K164=0),"",G164/K164*10000)</f>
        <v/>
      </c>
    </row>
    <row r="165">
      <c r="A165" s="9" t="n"/>
      <c r="B165" s="8" t="n"/>
      <c r="C165">
        <f>IF(B165="","",IFERROR(VLOOKUP(B165,Accounts!$A:$D,4,FALSE),""))</f>
        <v/>
      </c>
      <c r="D165" s="8" t="n"/>
      <c r="E165" s="8" t="n"/>
      <c r="F165" s="8" t="n"/>
      <c r="G165" s="8" t="n"/>
      <c r="H165" s="8" t="n"/>
      <c r="I165" s="8" t="n"/>
      <c r="J165" s="8" t="n"/>
      <c r="K165">
        <f>IF(B165="","",SUMIFS(Videos!$F:$F,Videos!$B:$B,B165,Videos!$E:$E,A165))</f>
        <v/>
      </c>
      <c r="L165" s="3">
        <f>IF(OR(K165="",K165=0),"",(D165+E165)/K165*1000)</f>
        <v/>
      </c>
      <c r="M165" s="10">
        <f>IF(OR(B165="",D165+E165=0),"",G165/(D165+E165))</f>
        <v/>
      </c>
      <c r="N165" s="3">
        <f>IF(OR(K165="",K165=0),"",G165/K165*10000)</f>
        <v/>
      </c>
    </row>
    <row r="166">
      <c r="A166" s="9" t="n"/>
      <c r="B166" s="8" t="n"/>
      <c r="C166">
        <f>IF(B166="","",IFERROR(VLOOKUP(B166,Accounts!$A:$D,4,FALSE),""))</f>
        <v/>
      </c>
      <c r="D166" s="8" t="n"/>
      <c r="E166" s="8" t="n"/>
      <c r="F166" s="8" t="n"/>
      <c r="G166" s="8" t="n"/>
      <c r="H166" s="8" t="n"/>
      <c r="I166" s="8" t="n"/>
      <c r="J166" s="8" t="n"/>
      <c r="K166">
        <f>IF(B166="","",SUMIFS(Videos!$F:$F,Videos!$B:$B,B166,Videos!$E:$E,A166))</f>
        <v/>
      </c>
      <c r="L166" s="3">
        <f>IF(OR(K166="",K166=0),"",(D166+E166)/K166*1000)</f>
        <v/>
      </c>
      <c r="M166" s="10">
        <f>IF(OR(B166="",D166+E166=0),"",G166/(D166+E166))</f>
        <v/>
      </c>
      <c r="N166" s="3">
        <f>IF(OR(K166="",K166=0),"",G166/K166*10000)</f>
        <v/>
      </c>
    </row>
    <row r="167">
      <c r="A167" s="9" t="n"/>
      <c r="B167" s="8" t="n"/>
      <c r="C167">
        <f>IF(B167="","",IFERROR(VLOOKUP(B167,Accounts!$A:$D,4,FALSE),""))</f>
        <v/>
      </c>
      <c r="D167" s="8" t="n"/>
      <c r="E167" s="8" t="n"/>
      <c r="F167" s="8" t="n"/>
      <c r="G167" s="8" t="n"/>
      <c r="H167" s="8" t="n"/>
      <c r="I167" s="8" t="n"/>
      <c r="J167" s="8" t="n"/>
      <c r="K167">
        <f>IF(B167="","",SUMIFS(Videos!$F:$F,Videos!$B:$B,B167,Videos!$E:$E,A167))</f>
        <v/>
      </c>
      <c r="L167" s="3">
        <f>IF(OR(K167="",K167=0),"",(D167+E167)/K167*1000)</f>
        <v/>
      </c>
      <c r="M167" s="10">
        <f>IF(OR(B167="",D167+E167=0),"",G167/(D167+E167))</f>
        <v/>
      </c>
      <c r="N167" s="3">
        <f>IF(OR(K167="",K167=0),"",G167/K167*10000)</f>
        <v/>
      </c>
    </row>
    <row r="168">
      <c r="A168" s="9" t="n"/>
      <c r="B168" s="8" t="n"/>
      <c r="C168">
        <f>IF(B168="","",IFERROR(VLOOKUP(B168,Accounts!$A:$D,4,FALSE),""))</f>
        <v/>
      </c>
      <c r="D168" s="8" t="n"/>
      <c r="E168" s="8" t="n"/>
      <c r="F168" s="8" t="n"/>
      <c r="G168" s="8" t="n"/>
      <c r="H168" s="8" t="n"/>
      <c r="I168" s="8" t="n"/>
      <c r="J168" s="8" t="n"/>
      <c r="K168">
        <f>IF(B168="","",SUMIFS(Videos!$F:$F,Videos!$B:$B,B168,Videos!$E:$E,A168))</f>
        <v/>
      </c>
      <c r="L168" s="3">
        <f>IF(OR(K168="",K168=0),"",(D168+E168)/K168*1000)</f>
        <v/>
      </c>
      <c r="M168" s="10">
        <f>IF(OR(B168="",D168+E168=0),"",G168/(D168+E168))</f>
        <v/>
      </c>
      <c r="N168" s="3">
        <f>IF(OR(K168="",K168=0),"",G168/K168*10000)</f>
        <v/>
      </c>
    </row>
    <row r="169">
      <c r="A169" s="9" t="n"/>
      <c r="B169" s="8" t="n"/>
      <c r="C169">
        <f>IF(B169="","",IFERROR(VLOOKUP(B169,Accounts!$A:$D,4,FALSE),""))</f>
        <v/>
      </c>
      <c r="D169" s="8" t="n"/>
      <c r="E169" s="8" t="n"/>
      <c r="F169" s="8" t="n"/>
      <c r="G169" s="8" t="n"/>
      <c r="H169" s="8" t="n"/>
      <c r="I169" s="8" t="n"/>
      <c r="J169" s="8" t="n"/>
      <c r="K169">
        <f>IF(B169="","",SUMIFS(Videos!$F:$F,Videos!$B:$B,B169,Videos!$E:$E,A169))</f>
        <v/>
      </c>
      <c r="L169" s="3">
        <f>IF(OR(K169="",K169=0),"",(D169+E169)/K169*1000)</f>
        <v/>
      </c>
      <c r="M169" s="10">
        <f>IF(OR(B169="",D169+E169=0),"",G169/(D169+E169))</f>
        <v/>
      </c>
      <c r="N169" s="3">
        <f>IF(OR(K169="",K169=0),"",G169/K169*10000)</f>
        <v/>
      </c>
    </row>
    <row r="170">
      <c r="A170" s="9" t="n"/>
      <c r="B170" s="8" t="n"/>
      <c r="C170">
        <f>IF(B170="","",IFERROR(VLOOKUP(B170,Accounts!$A:$D,4,FALSE),""))</f>
        <v/>
      </c>
      <c r="D170" s="8" t="n"/>
      <c r="E170" s="8" t="n"/>
      <c r="F170" s="8" t="n"/>
      <c r="G170" s="8" t="n"/>
      <c r="H170" s="8" t="n"/>
      <c r="I170" s="8" t="n"/>
      <c r="J170" s="8" t="n"/>
      <c r="K170">
        <f>IF(B170="","",SUMIFS(Videos!$F:$F,Videos!$B:$B,B170,Videos!$E:$E,A170))</f>
        <v/>
      </c>
      <c r="L170" s="3">
        <f>IF(OR(K170="",K170=0),"",(D170+E170)/K170*1000)</f>
        <v/>
      </c>
      <c r="M170" s="10">
        <f>IF(OR(B170="",D170+E170=0),"",G170/(D170+E170))</f>
        <v/>
      </c>
      <c r="N170" s="3">
        <f>IF(OR(K170="",K170=0),"",G170/K170*10000)</f>
        <v/>
      </c>
    </row>
    <row r="171">
      <c r="A171" s="9" t="n"/>
      <c r="B171" s="8" t="n"/>
      <c r="C171">
        <f>IF(B171="","",IFERROR(VLOOKUP(B171,Accounts!$A:$D,4,FALSE),""))</f>
        <v/>
      </c>
      <c r="D171" s="8" t="n"/>
      <c r="E171" s="8" t="n"/>
      <c r="F171" s="8" t="n"/>
      <c r="G171" s="8" t="n"/>
      <c r="H171" s="8" t="n"/>
      <c r="I171" s="8" t="n"/>
      <c r="J171" s="8" t="n"/>
      <c r="K171">
        <f>IF(B171="","",SUMIFS(Videos!$F:$F,Videos!$B:$B,B171,Videos!$E:$E,A171))</f>
        <v/>
      </c>
      <c r="L171" s="3">
        <f>IF(OR(K171="",K171=0),"",(D171+E171)/K171*1000)</f>
        <v/>
      </c>
      <c r="M171" s="10">
        <f>IF(OR(B171="",D171+E171=0),"",G171/(D171+E171))</f>
        <v/>
      </c>
      <c r="N171" s="3">
        <f>IF(OR(K171="",K171=0),"",G171/K171*10000)</f>
        <v/>
      </c>
    </row>
    <row r="172">
      <c r="A172" s="9" t="n"/>
      <c r="B172" s="8" t="n"/>
      <c r="C172">
        <f>IF(B172="","",IFERROR(VLOOKUP(B172,Accounts!$A:$D,4,FALSE),""))</f>
        <v/>
      </c>
      <c r="D172" s="8" t="n"/>
      <c r="E172" s="8" t="n"/>
      <c r="F172" s="8" t="n"/>
      <c r="G172" s="8" t="n"/>
      <c r="H172" s="8" t="n"/>
      <c r="I172" s="8" t="n"/>
      <c r="J172" s="8" t="n"/>
      <c r="K172">
        <f>IF(B172="","",SUMIFS(Videos!$F:$F,Videos!$B:$B,B172,Videos!$E:$E,A172))</f>
        <v/>
      </c>
      <c r="L172" s="3">
        <f>IF(OR(K172="",K172=0),"",(D172+E172)/K172*1000)</f>
        <v/>
      </c>
      <c r="M172" s="10">
        <f>IF(OR(B172="",D172+E172=0),"",G172/(D172+E172))</f>
        <v/>
      </c>
      <c r="N172" s="3">
        <f>IF(OR(K172="",K172=0),"",G172/K172*10000)</f>
        <v/>
      </c>
    </row>
    <row r="173">
      <c r="A173" s="9" t="n"/>
      <c r="B173" s="8" t="n"/>
      <c r="C173">
        <f>IF(B173="","",IFERROR(VLOOKUP(B173,Accounts!$A:$D,4,FALSE),""))</f>
        <v/>
      </c>
      <c r="D173" s="8" t="n"/>
      <c r="E173" s="8" t="n"/>
      <c r="F173" s="8" t="n"/>
      <c r="G173" s="8" t="n"/>
      <c r="H173" s="8" t="n"/>
      <c r="I173" s="8" t="n"/>
      <c r="J173" s="8" t="n"/>
      <c r="K173">
        <f>IF(B173="","",SUMIFS(Videos!$F:$F,Videos!$B:$B,B173,Videos!$E:$E,A173))</f>
        <v/>
      </c>
      <c r="L173" s="3">
        <f>IF(OR(K173="",K173=0),"",(D173+E173)/K173*1000)</f>
        <v/>
      </c>
      <c r="M173" s="10">
        <f>IF(OR(B173="",D173+E173=0),"",G173/(D173+E173))</f>
        <v/>
      </c>
      <c r="N173" s="3">
        <f>IF(OR(K173="",K173=0),"",G173/K173*10000)</f>
        <v/>
      </c>
    </row>
    <row r="174">
      <c r="A174" s="9" t="n"/>
      <c r="B174" s="8" t="n"/>
      <c r="C174">
        <f>IF(B174="","",IFERROR(VLOOKUP(B174,Accounts!$A:$D,4,FALSE),""))</f>
        <v/>
      </c>
      <c r="D174" s="8" t="n"/>
      <c r="E174" s="8" t="n"/>
      <c r="F174" s="8" t="n"/>
      <c r="G174" s="8" t="n"/>
      <c r="H174" s="8" t="n"/>
      <c r="I174" s="8" t="n"/>
      <c r="J174" s="8" t="n"/>
      <c r="K174">
        <f>IF(B174="","",SUMIFS(Videos!$F:$F,Videos!$B:$B,B174,Videos!$E:$E,A174))</f>
        <v/>
      </c>
      <c r="L174" s="3">
        <f>IF(OR(K174="",K174=0),"",(D174+E174)/K174*1000)</f>
        <v/>
      </c>
      <c r="M174" s="10">
        <f>IF(OR(B174="",D174+E174=0),"",G174/(D174+E174))</f>
        <v/>
      </c>
      <c r="N174" s="3">
        <f>IF(OR(K174="",K174=0),"",G174/K174*10000)</f>
        <v/>
      </c>
    </row>
    <row r="175">
      <c r="A175" s="9" t="n"/>
      <c r="B175" s="8" t="n"/>
      <c r="C175">
        <f>IF(B175="","",IFERROR(VLOOKUP(B175,Accounts!$A:$D,4,FALSE),""))</f>
        <v/>
      </c>
      <c r="D175" s="8" t="n"/>
      <c r="E175" s="8" t="n"/>
      <c r="F175" s="8" t="n"/>
      <c r="G175" s="8" t="n"/>
      <c r="H175" s="8" t="n"/>
      <c r="I175" s="8" t="n"/>
      <c r="J175" s="8" t="n"/>
      <c r="K175">
        <f>IF(B175="","",SUMIFS(Videos!$F:$F,Videos!$B:$B,B175,Videos!$E:$E,A175))</f>
        <v/>
      </c>
      <c r="L175" s="3">
        <f>IF(OR(K175="",K175=0),"",(D175+E175)/K175*1000)</f>
        <v/>
      </c>
      <c r="M175" s="10">
        <f>IF(OR(B175="",D175+E175=0),"",G175/(D175+E175))</f>
        <v/>
      </c>
      <c r="N175" s="3">
        <f>IF(OR(K175="",K175=0),"",G175/K175*10000)</f>
        <v/>
      </c>
    </row>
    <row r="176">
      <c r="A176" s="9" t="n"/>
      <c r="B176" s="8" t="n"/>
      <c r="C176">
        <f>IF(B176="","",IFERROR(VLOOKUP(B176,Accounts!$A:$D,4,FALSE),""))</f>
        <v/>
      </c>
      <c r="D176" s="8" t="n"/>
      <c r="E176" s="8" t="n"/>
      <c r="F176" s="8" t="n"/>
      <c r="G176" s="8" t="n"/>
      <c r="H176" s="8" t="n"/>
      <c r="I176" s="8" t="n"/>
      <c r="J176" s="8" t="n"/>
      <c r="K176">
        <f>IF(B176="","",SUMIFS(Videos!$F:$F,Videos!$B:$B,B176,Videos!$E:$E,A176))</f>
        <v/>
      </c>
      <c r="L176" s="3">
        <f>IF(OR(K176="",K176=0),"",(D176+E176)/K176*1000)</f>
        <v/>
      </c>
      <c r="M176" s="10">
        <f>IF(OR(B176="",D176+E176=0),"",G176/(D176+E176))</f>
        <v/>
      </c>
      <c r="N176" s="3">
        <f>IF(OR(K176="",K176=0),"",G176/K176*10000)</f>
        <v/>
      </c>
    </row>
    <row r="177">
      <c r="A177" s="9" t="n"/>
      <c r="B177" s="8" t="n"/>
      <c r="C177">
        <f>IF(B177="","",IFERROR(VLOOKUP(B177,Accounts!$A:$D,4,FALSE),""))</f>
        <v/>
      </c>
      <c r="D177" s="8" t="n"/>
      <c r="E177" s="8" t="n"/>
      <c r="F177" s="8" t="n"/>
      <c r="G177" s="8" t="n"/>
      <c r="H177" s="8" t="n"/>
      <c r="I177" s="8" t="n"/>
      <c r="J177" s="8" t="n"/>
      <c r="K177">
        <f>IF(B177="","",SUMIFS(Videos!$F:$F,Videos!$B:$B,B177,Videos!$E:$E,A177))</f>
        <v/>
      </c>
      <c r="L177" s="3">
        <f>IF(OR(K177="",K177=0),"",(D177+E177)/K177*1000)</f>
        <v/>
      </c>
      <c r="M177" s="10">
        <f>IF(OR(B177="",D177+E177=0),"",G177/(D177+E177))</f>
        <v/>
      </c>
      <c r="N177" s="3">
        <f>IF(OR(K177="",K177=0),"",G177/K177*10000)</f>
        <v/>
      </c>
    </row>
    <row r="178">
      <c r="A178" s="9" t="n"/>
      <c r="B178" s="8" t="n"/>
      <c r="C178">
        <f>IF(B178="","",IFERROR(VLOOKUP(B178,Accounts!$A:$D,4,FALSE),""))</f>
        <v/>
      </c>
      <c r="D178" s="8" t="n"/>
      <c r="E178" s="8" t="n"/>
      <c r="F178" s="8" t="n"/>
      <c r="G178" s="8" t="n"/>
      <c r="H178" s="8" t="n"/>
      <c r="I178" s="8" t="n"/>
      <c r="J178" s="8" t="n"/>
      <c r="K178">
        <f>IF(B178="","",SUMIFS(Videos!$F:$F,Videos!$B:$B,B178,Videos!$E:$E,A178))</f>
        <v/>
      </c>
      <c r="L178" s="3">
        <f>IF(OR(K178="",K178=0),"",(D178+E178)/K178*1000)</f>
        <v/>
      </c>
      <c r="M178" s="10">
        <f>IF(OR(B178="",D178+E178=0),"",G178/(D178+E178))</f>
        <v/>
      </c>
      <c r="N178" s="3">
        <f>IF(OR(K178="",K178=0),"",G178/K178*10000)</f>
        <v/>
      </c>
    </row>
    <row r="179">
      <c r="A179" s="9" t="n"/>
      <c r="B179" s="8" t="n"/>
      <c r="C179">
        <f>IF(B179="","",IFERROR(VLOOKUP(B179,Accounts!$A:$D,4,FALSE),""))</f>
        <v/>
      </c>
      <c r="D179" s="8" t="n"/>
      <c r="E179" s="8" t="n"/>
      <c r="F179" s="8" t="n"/>
      <c r="G179" s="8" t="n"/>
      <c r="H179" s="8" t="n"/>
      <c r="I179" s="8" t="n"/>
      <c r="J179" s="8" t="n"/>
      <c r="K179">
        <f>IF(B179="","",SUMIFS(Videos!$F:$F,Videos!$B:$B,B179,Videos!$E:$E,A179))</f>
        <v/>
      </c>
      <c r="L179" s="3">
        <f>IF(OR(K179="",K179=0),"",(D179+E179)/K179*1000)</f>
        <v/>
      </c>
      <c r="M179" s="10">
        <f>IF(OR(B179="",D179+E179=0),"",G179/(D179+E179))</f>
        <v/>
      </c>
      <c r="N179" s="3">
        <f>IF(OR(K179="",K179=0),"",G179/K179*10000)</f>
        <v/>
      </c>
    </row>
    <row r="180">
      <c r="A180" s="9" t="n"/>
      <c r="B180" s="8" t="n"/>
      <c r="C180">
        <f>IF(B180="","",IFERROR(VLOOKUP(B180,Accounts!$A:$D,4,FALSE),""))</f>
        <v/>
      </c>
      <c r="D180" s="8" t="n"/>
      <c r="E180" s="8" t="n"/>
      <c r="F180" s="8" t="n"/>
      <c r="G180" s="8" t="n"/>
      <c r="H180" s="8" t="n"/>
      <c r="I180" s="8" t="n"/>
      <c r="J180" s="8" t="n"/>
      <c r="K180">
        <f>IF(B180="","",SUMIFS(Videos!$F:$F,Videos!$B:$B,B180,Videos!$E:$E,A180))</f>
        <v/>
      </c>
      <c r="L180" s="3">
        <f>IF(OR(K180="",K180=0),"",(D180+E180)/K180*1000)</f>
        <v/>
      </c>
      <c r="M180" s="10">
        <f>IF(OR(B180="",D180+E180=0),"",G180/(D180+E180))</f>
        <v/>
      </c>
      <c r="N180" s="3">
        <f>IF(OR(K180="",K180=0),"",G180/K180*10000)</f>
        <v/>
      </c>
    </row>
    <row r="181">
      <c r="A181" s="9" t="n"/>
      <c r="B181" s="8" t="n"/>
      <c r="C181">
        <f>IF(B181="","",IFERROR(VLOOKUP(B181,Accounts!$A:$D,4,FALSE),""))</f>
        <v/>
      </c>
      <c r="D181" s="8" t="n"/>
      <c r="E181" s="8" t="n"/>
      <c r="F181" s="8" t="n"/>
      <c r="G181" s="8" t="n"/>
      <c r="H181" s="8" t="n"/>
      <c r="I181" s="8" t="n"/>
      <c r="J181" s="8" t="n"/>
      <c r="K181">
        <f>IF(B181="","",SUMIFS(Videos!$F:$F,Videos!$B:$B,B181,Videos!$E:$E,A181))</f>
        <v/>
      </c>
      <c r="L181" s="3">
        <f>IF(OR(K181="",K181=0),"",(D181+E181)/K181*1000)</f>
        <v/>
      </c>
      <c r="M181" s="10">
        <f>IF(OR(B181="",D181+E181=0),"",G181/(D181+E181))</f>
        <v/>
      </c>
      <c r="N181" s="3">
        <f>IF(OR(K181="",K181=0),"",G181/K181*10000)</f>
        <v/>
      </c>
    </row>
    <row r="182">
      <c r="A182" s="9" t="n"/>
      <c r="B182" s="8" t="n"/>
      <c r="C182">
        <f>IF(B182="","",IFERROR(VLOOKUP(B182,Accounts!$A:$D,4,FALSE),""))</f>
        <v/>
      </c>
      <c r="D182" s="8" t="n"/>
      <c r="E182" s="8" t="n"/>
      <c r="F182" s="8" t="n"/>
      <c r="G182" s="8" t="n"/>
      <c r="H182" s="8" t="n"/>
      <c r="I182" s="8" t="n"/>
      <c r="J182" s="8" t="n"/>
      <c r="K182">
        <f>IF(B182="","",SUMIFS(Videos!$F:$F,Videos!$B:$B,B182,Videos!$E:$E,A182))</f>
        <v/>
      </c>
      <c r="L182" s="3">
        <f>IF(OR(K182="",K182=0),"",(D182+E182)/K182*1000)</f>
        <v/>
      </c>
      <c r="M182" s="10">
        <f>IF(OR(B182="",D182+E182=0),"",G182/(D182+E182))</f>
        <v/>
      </c>
      <c r="N182" s="3">
        <f>IF(OR(K182="",K182=0),"",G182/K182*10000)</f>
        <v/>
      </c>
    </row>
    <row r="183">
      <c r="A183" s="9" t="n"/>
      <c r="B183" s="8" t="n"/>
      <c r="C183">
        <f>IF(B183="","",IFERROR(VLOOKUP(B183,Accounts!$A:$D,4,FALSE),""))</f>
        <v/>
      </c>
      <c r="D183" s="8" t="n"/>
      <c r="E183" s="8" t="n"/>
      <c r="F183" s="8" t="n"/>
      <c r="G183" s="8" t="n"/>
      <c r="H183" s="8" t="n"/>
      <c r="I183" s="8" t="n"/>
      <c r="J183" s="8" t="n"/>
      <c r="K183">
        <f>IF(B183="","",SUMIFS(Videos!$F:$F,Videos!$B:$B,B183,Videos!$E:$E,A183))</f>
        <v/>
      </c>
      <c r="L183" s="3">
        <f>IF(OR(K183="",K183=0),"",(D183+E183)/K183*1000)</f>
        <v/>
      </c>
      <c r="M183" s="10">
        <f>IF(OR(B183="",D183+E183=0),"",G183/(D183+E183))</f>
        <v/>
      </c>
      <c r="N183" s="3">
        <f>IF(OR(K183="",K183=0),"",G183/K183*10000)</f>
        <v/>
      </c>
    </row>
    <row r="184">
      <c r="A184" s="9" t="n"/>
      <c r="B184" s="8" t="n"/>
      <c r="C184">
        <f>IF(B184="","",IFERROR(VLOOKUP(B184,Accounts!$A:$D,4,FALSE),""))</f>
        <v/>
      </c>
      <c r="D184" s="8" t="n"/>
      <c r="E184" s="8" t="n"/>
      <c r="F184" s="8" t="n"/>
      <c r="G184" s="8" t="n"/>
      <c r="H184" s="8" t="n"/>
      <c r="I184" s="8" t="n"/>
      <c r="J184" s="8" t="n"/>
      <c r="K184">
        <f>IF(B184="","",SUMIFS(Videos!$F:$F,Videos!$B:$B,B184,Videos!$E:$E,A184))</f>
        <v/>
      </c>
      <c r="L184" s="3">
        <f>IF(OR(K184="",K184=0),"",(D184+E184)/K184*1000)</f>
        <v/>
      </c>
      <c r="M184" s="10">
        <f>IF(OR(B184="",D184+E184=0),"",G184/(D184+E184))</f>
        <v/>
      </c>
      <c r="N184" s="3">
        <f>IF(OR(K184="",K184=0),"",G184/K184*10000)</f>
        <v/>
      </c>
    </row>
    <row r="185">
      <c r="A185" s="9" t="n"/>
      <c r="B185" s="8" t="n"/>
      <c r="C185">
        <f>IF(B185="","",IFERROR(VLOOKUP(B185,Accounts!$A:$D,4,FALSE),""))</f>
        <v/>
      </c>
      <c r="D185" s="8" t="n"/>
      <c r="E185" s="8" t="n"/>
      <c r="F185" s="8" t="n"/>
      <c r="G185" s="8" t="n"/>
      <c r="H185" s="8" t="n"/>
      <c r="I185" s="8" t="n"/>
      <c r="J185" s="8" t="n"/>
      <c r="K185">
        <f>IF(B185="","",SUMIFS(Videos!$F:$F,Videos!$B:$B,B185,Videos!$E:$E,A185))</f>
        <v/>
      </c>
      <c r="L185" s="3">
        <f>IF(OR(K185="",K185=0),"",(D185+E185)/K185*1000)</f>
        <v/>
      </c>
      <c r="M185" s="10">
        <f>IF(OR(B185="",D185+E185=0),"",G185/(D185+E185))</f>
        <v/>
      </c>
      <c r="N185" s="3">
        <f>IF(OR(K185="",K185=0),"",G185/K185*10000)</f>
        <v/>
      </c>
    </row>
    <row r="186">
      <c r="A186" s="9" t="n"/>
      <c r="B186" s="8" t="n"/>
      <c r="C186">
        <f>IF(B186="","",IFERROR(VLOOKUP(B186,Accounts!$A:$D,4,FALSE),""))</f>
        <v/>
      </c>
      <c r="D186" s="8" t="n"/>
      <c r="E186" s="8" t="n"/>
      <c r="F186" s="8" t="n"/>
      <c r="G186" s="8" t="n"/>
      <c r="H186" s="8" t="n"/>
      <c r="I186" s="8" t="n"/>
      <c r="J186" s="8" t="n"/>
      <c r="K186">
        <f>IF(B186="","",SUMIFS(Videos!$F:$F,Videos!$B:$B,B186,Videos!$E:$E,A186))</f>
        <v/>
      </c>
      <c r="L186" s="3">
        <f>IF(OR(K186="",K186=0),"",(D186+E186)/K186*1000)</f>
        <v/>
      </c>
      <c r="M186" s="10">
        <f>IF(OR(B186="",D186+E186=0),"",G186/(D186+E186))</f>
        <v/>
      </c>
      <c r="N186" s="3">
        <f>IF(OR(K186="",K186=0),"",G186/K186*10000)</f>
        <v/>
      </c>
    </row>
    <row r="187">
      <c r="A187" s="9" t="n"/>
      <c r="B187" s="8" t="n"/>
      <c r="C187">
        <f>IF(B187="","",IFERROR(VLOOKUP(B187,Accounts!$A:$D,4,FALSE),""))</f>
        <v/>
      </c>
      <c r="D187" s="8" t="n"/>
      <c r="E187" s="8" t="n"/>
      <c r="F187" s="8" t="n"/>
      <c r="G187" s="8" t="n"/>
      <c r="H187" s="8" t="n"/>
      <c r="I187" s="8" t="n"/>
      <c r="J187" s="8" t="n"/>
      <c r="K187">
        <f>IF(B187="","",SUMIFS(Videos!$F:$F,Videos!$B:$B,B187,Videos!$E:$E,A187))</f>
        <v/>
      </c>
      <c r="L187" s="3">
        <f>IF(OR(K187="",K187=0),"",(D187+E187)/K187*1000)</f>
        <v/>
      </c>
      <c r="M187" s="10">
        <f>IF(OR(B187="",D187+E187=0),"",G187/(D187+E187))</f>
        <v/>
      </c>
      <c r="N187" s="3">
        <f>IF(OR(K187="",K187=0),"",G187/K187*10000)</f>
        <v/>
      </c>
    </row>
    <row r="188">
      <c r="A188" s="9" t="n"/>
      <c r="B188" s="8" t="n"/>
      <c r="C188">
        <f>IF(B188="","",IFERROR(VLOOKUP(B188,Accounts!$A:$D,4,FALSE),""))</f>
        <v/>
      </c>
      <c r="D188" s="8" t="n"/>
      <c r="E188" s="8" t="n"/>
      <c r="F188" s="8" t="n"/>
      <c r="G188" s="8" t="n"/>
      <c r="H188" s="8" t="n"/>
      <c r="I188" s="8" t="n"/>
      <c r="J188" s="8" t="n"/>
      <c r="K188">
        <f>IF(B188="","",SUMIFS(Videos!$F:$F,Videos!$B:$B,B188,Videos!$E:$E,A188))</f>
        <v/>
      </c>
      <c r="L188" s="3">
        <f>IF(OR(K188="",K188=0),"",(D188+E188)/K188*1000)</f>
        <v/>
      </c>
      <c r="M188" s="10">
        <f>IF(OR(B188="",D188+E188=0),"",G188/(D188+E188))</f>
        <v/>
      </c>
      <c r="N188" s="3">
        <f>IF(OR(K188="",K188=0),"",G188/K188*10000)</f>
        <v/>
      </c>
    </row>
    <row r="189">
      <c r="A189" s="9" t="n"/>
      <c r="B189" s="8" t="n"/>
      <c r="C189">
        <f>IF(B189="","",IFERROR(VLOOKUP(B189,Accounts!$A:$D,4,FALSE),""))</f>
        <v/>
      </c>
      <c r="D189" s="8" t="n"/>
      <c r="E189" s="8" t="n"/>
      <c r="F189" s="8" t="n"/>
      <c r="G189" s="8" t="n"/>
      <c r="H189" s="8" t="n"/>
      <c r="I189" s="8" t="n"/>
      <c r="J189" s="8" t="n"/>
      <c r="K189">
        <f>IF(B189="","",SUMIFS(Videos!$F:$F,Videos!$B:$B,B189,Videos!$E:$E,A189))</f>
        <v/>
      </c>
      <c r="L189" s="3">
        <f>IF(OR(K189="",K189=0),"",(D189+E189)/K189*1000)</f>
        <v/>
      </c>
      <c r="M189" s="10">
        <f>IF(OR(B189="",D189+E189=0),"",G189/(D189+E189))</f>
        <v/>
      </c>
      <c r="N189" s="3">
        <f>IF(OR(K189="",K189=0),"",G189/K189*10000)</f>
        <v/>
      </c>
    </row>
    <row r="190">
      <c r="A190" s="9" t="n"/>
      <c r="B190" s="8" t="n"/>
      <c r="C190">
        <f>IF(B190="","",IFERROR(VLOOKUP(B190,Accounts!$A:$D,4,FALSE),""))</f>
        <v/>
      </c>
      <c r="D190" s="8" t="n"/>
      <c r="E190" s="8" t="n"/>
      <c r="F190" s="8" t="n"/>
      <c r="G190" s="8" t="n"/>
      <c r="H190" s="8" t="n"/>
      <c r="I190" s="8" t="n"/>
      <c r="J190" s="8" t="n"/>
      <c r="K190">
        <f>IF(B190="","",SUMIFS(Videos!$F:$F,Videos!$B:$B,B190,Videos!$E:$E,A190))</f>
        <v/>
      </c>
      <c r="L190" s="3">
        <f>IF(OR(K190="",K190=0),"",(D190+E190)/K190*1000)</f>
        <v/>
      </c>
      <c r="M190" s="10">
        <f>IF(OR(B190="",D190+E190=0),"",G190/(D190+E190))</f>
        <v/>
      </c>
      <c r="N190" s="3">
        <f>IF(OR(K190="",K190=0),"",G190/K190*10000)</f>
        <v/>
      </c>
    </row>
    <row r="191">
      <c r="A191" s="9" t="n"/>
      <c r="B191" s="8" t="n"/>
      <c r="C191">
        <f>IF(B191="","",IFERROR(VLOOKUP(B191,Accounts!$A:$D,4,FALSE),""))</f>
        <v/>
      </c>
      <c r="D191" s="8" t="n"/>
      <c r="E191" s="8" t="n"/>
      <c r="F191" s="8" t="n"/>
      <c r="G191" s="8" t="n"/>
      <c r="H191" s="8" t="n"/>
      <c r="I191" s="8" t="n"/>
      <c r="J191" s="8" t="n"/>
      <c r="K191">
        <f>IF(B191="","",SUMIFS(Videos!$F:$F,Videos!$B:$B,B191,Videos!$E:$E,A191))</f>
        <v/>
      </c>
      <c r="L191" s="3">
        <f>IF(OR(K191="",K191=0),"",(D191+E191)/K191*1000)</f>
        <v/>
      </c>
      <c r="M191" s="10">
        <f>IF(OR(B191="",D191+E191=0),"",G191/(D191+E191))</f>
        <v/>
      </c>
      <c r="N191" s="3">
        <f>IF(OR(K191="",K191=0),"",G191/K191*10000)</f>
        <v/>
      </c>
    </row>
    <row r="192">
      <c r="A192" s="9" t="n"/>
      <c r="B192" s="8" t="n"/>
      <c r="C192">
        <f>IF(B192="","",IFERROR(VLOOKUP(B192,Accounts!$A:$D,4,FALSE),""))</f>
        <v/>
      </c>
      <c r="D192" s="8" t="n"/>
      <c r="E192" s="8" t="n"/>
      <c r="F192" s="8" t="n"/>
      <c r="G192" s="8" t="n"/>
      <c r="H192" s="8" t="n"/>
      <c r="I192" s="8" t="n"/>
      <c r="J192" s="8" t="n"/>
      <c r="K192">
        <f>IF(B192="","",SUMIFS(Videos!$F:$F,Videos!$B:$B,B192,Videos!$E:$E,A192))</f>
        <v/>
      </c>
      <c r="L192" s="3">
        <f>IF(OR(K192="",K192=0),"",(D192+E192)/K192*1000)</f>
        <v/>
      </c>
      <c r="M192" s="10">
        <f>IF(OR(B192="",D192+E192=0),"",G192/(D192+E192))</f>
        <v/>
      </c>
      <c r="N192" s="3">
        <f>IF(OR(K192="",K192=0),"",G192/K192*10000)</f>
        <v/>
      </c>
    </row>
    <row r="193">
      <c r="A193" s="9" t="n"/>
      <c r="B193" s="8" t="n"/>
      <c r="C193">
        <f>IF(B193="","",IFERROR(VLOOKUP(B193,Accounts!$A:$D,4,FALSE),""))</f>
        <v/>
      </c>
      <c r="D193" s="8" t="n"/>
      <c r="E193" s="8" t="n"/>
      <c r="F193" s="8" t="n"/>
      <c r="G193" s="8" t="n"/>
      <c r="H193" s="8" t="n"/>
      <c r="I193" s="8" t="n"/>
      <c r="J193" s="8" t="n"/>
      <c r="K193">
        <f>IF(B193="","",SUMIFS(Videos!$F:$F,Videos!$B:$B,B193,Videos!$E:$E,A193))</f>
        <v/>
      </c>
      <c r="L193" s="3">
        <f>IF(OR(K193="",K193=0),"",(D193+E193)/K193*1000)</f>
        <v/>
      </c>
      <c r="M193" s="10">
        <f>IF(OR(B193="",D193+E193=0),"",G193/(D193+E193))</f>
        <v/>
      </c>
      <c r="N193" s="3">
        <f>IF(OR(K193="",K193=0),"",G193/K193*10000)</f>
        <v/>
      </c>
    </row>
    <row r="194">
      <c r="A194" s="9" t="n"/>
      <c r="B194" s="8" t="n"/>
      <c r="C194">
        <f>IF(B194="","",IFERROR(VLOOKUP(B194,Accounts!$A:$D,4,FALSE),""))</f>
        <v/>
      </c>
      <c r="D194" s="8" t="n"/>
      <c r="E194" s="8" t="n"/>
      <c r="F194" s="8" t="n"/>
      <c r="G194" s="8" t="n"/>
      <c r="H194" s="8" t="n"/>
      <c r="I194" s="8" t="n"/>
      <c r="J194" s="8" t="n"/>
      <c r="K194">
        <f>IF(B194="","",SUMIFS(Videos!$F:$F,Videos!$B:$B,B194,Videos!$E:$E,A194))</f>
        <v/>
      </c>
      <c r="L194" s="3">
        <f>IF(OR(K194="",K194=0),"",(D194+E194)/K194*1000)</f>
        <v/>
      </c>
      <c r="M194" s="10">
        <f>IF(OR(B194="",D194+E194=0),"",G194/(D194+E194))</f>
        <v/>
      </c>
      <c r="N194" s="3">
        <f>IF(OR(K194="",K194=0),"",G194/K194*10000)</f>
        <v/>
      </c>
    </row>
    <row r="195">
      <c r="A195" s="9" t="n"/>
      <c r="B195" s="8" t="n"/>
      <c r="C195">
        <f>IF(B195="","",IFERROR(VLOOKUP(B195,Accounts!$A:$D,4,FALSE),""))</f>
        <v/>
      </c>
      <c r="D195" s="8" t="n"/>
      <c r="E195" s="8" t="n"/>
      <c r="F195" s="8" t="n"/>
      <c r="G195" s="8" t="n"/>
      <c r="H195" s="8" t="n"/>
      <c r="I195" s="8" t="n"/>
      <c r="J195" s="8" t="n"/>
      <c r="K195">
        <f>IF(B195="","",SUMIFS(Videos!$F:$F,Videos!$B:$B,B195,Videos!$E:$E,A195))</f>
        <v/>
      </c>
      <c r="L195" s="3">
        <f>IF(OR(K195="",K195=0),"",(D195+E195)/K195*1000)</f>
        <v/>
      </c>
      <c r="M195" s="10">
        <f>IF(OR(B195="",D195+E195=0),"",G195/(D195+E195))</f>
        <v/>
      </c>
      <c r="N195" s="3">
        <f>IF(OR(K195="",K195=0),"",G195/K195*10000)</f>
        <v/>
      </c>
    </row>
    <row r="196">
      <c r="A196" s="9" t="n"/>
      <c r="B196" s="8" t="n"/>
      <c r="C196">
        <f>IF(B196="","",IFERROR(VLOOKUP(B196,Accounts!$A:$D,4,FALSE),""))</f>
        <v/>
      </c>
      <c r="D196" s="8" t="n"/>
      <c r="E196" s="8" t="n"/>
      <c r="F196" s="8" t="n"/>
      <c r="G196" s="8" t="n"/>
      <c r="H196" s="8" t="n"/>
      <c r="I196" s="8" t="n"/>
      <c r="J196" s="8" t="n"/>
      <c r="K196">
        <f>IF(B196="","",SUMIFS(Videos!$F:$F,Videos!$B:$B,B196,Videos!$E:$E,A196))</f>
        <v/>
      </c>
      <c r="L196" s="3">
        <f>IF(OR(K196="",K196=0),"",(D196+E196)/K196*1000)</f>
        <v/>
      </c>
      <c r="M196" s="10">
        <f>IF(OR(B196="",D196+E196=0),"",G196/(D196+E196))</f>
        <v/>
      </c>
      <c r="N196" s="3">
        <f>IF(OR(K196="",K196=0),"",G196/K196*10000)</f>
        <v/>
      </c>
    </row>
    <row r="197">
      <c r="A197" s="9" t="n"/>
      <c r="B197" s="8" t="n"/>
      <c r="C197">
        <f>IF(B197="","",IFERROR(VLOOKUP(B197,Accounts!$A:$D,4,FALSE),""))</f>
        <v/>
      </c>
      <c r="D197" s="8" t="n"/>
      <c r="E197" s="8" t="n"/>
      <c r="F197" s="8" t="n"/>
      <c r="G197" s="8" t="n"/>
      <c r="H197" s="8" t="n"/>
      <c r="I197" s="8" t="n"/>
      <c r="J197" s="8" t="n"/>
      <c r="K197">
        <f>IF(B197="","",SUMIFS(Videos!$F:$F,Videos!$B:$B,B197,Videos!$E:$E,A197))</f>
        <v/>
      </c>
      <c r="L197" s="3">
        <f>IF(OR(K197="",K197=0),"",(D197+E197)/K197*1000)</f>
        <v/>
      </c>
      <c r="M197" s="10">
        <f>IF(OR(B197="",D197+E197=0),"",G197/(D197+E197))</f>
        <v/>
      </c>
      <c r="N197" s="3">
        <f>IF(OR(K197="",K197=0),"",G197/K197*10000)</f>
        <v/>
      </c>
    </row>
    <row r="198">
      <c r="A198" s="9" t="n"/>
      <c r="B198" s="8" t="n"/>
      <c r="C198">
        <f>IF(B198="","",IFERROR(VLOOKUP(B198,Accounts!$A:$D,4,FALSE),""))</f>
        <v/>
      </c>
      <c r="D198" s="8" t="n"/>
      <c r="E198" s="8" t="n"/>
      <c r="F198" s="8" t="n"/>
      <c r="G198" s="8" t="n"/>
      <c r="H198" s="8" t="n"/>
      <c r="I198" s="8" t="n"/>
      <c r="J198" s="8" t="n"/>
      <c r="K198">
        <f>IF(B198="","",SUMIFS(Videos!$F:$F,Videos!$B:$B,B198,Videos!$E:$E,A198))</f>
        <v/>
      </c>
      <c r="L198" s="3">
        <f>IF(OR(K198="",K198=0),"",(D198+E198)/K198*1000)</f>
        <v/>
      </c>
      <c r="M198" s="10">
        <f>IF(OR(B198="",D198+E198=0),"",G198/(D198+E198))</f>
        <v/>
      </c>
      <c r="N198" s="3">
        <f>IF(OR(K198="",K198=0),"",G198/K198*10000)</f>
        <v/>
      </c>
    </row>
    <row r="199">
      <c r="A199" s="9" t="n"/>
      <c r="B199" s="8" t="n"/>
      <c r="C199">
        <f>IF(B199="","",IFERROR(VLOOKUP(B199,Accounts!$A:$D,4,FALSE),""))</f>
        <v/>
      </c>
      <c r="D199" s="8" t="n"/>
      <c r="E199" s="8" t="n"/>
      <c r="F199" s="8" t="n"/>
      <c r="G199" s="8" t="n"/>
      <c r="H199" s="8" t="n"/>
      <c r="I199" s="8" t="n"/>
      <c r="J199" s="8" t="n"/>
      <c r="K199">
        <f>IF(B199="","",SUMIFS(Videos!$F:$F,Videos!$B:$B,B199,Videos!$E:$E,A199))</f>
        <v/>
      </c>
      <c r="L199" s="3">
        <f>IF(OR(K199="",K199=0),"",(D199+E199)/K199*1000)</f>
        <v/>
      </c>
      <c r="M199" s="10">
        <f>IF(OR(B199="",D199+E199=0),"",G199/(D199+E199))</f>
        <v/>
      </c>
      <c r="N199" s="3">
        <f>IF(OR(K199="",K199=0),"",G199/K199*10000)</f>
        <v/>
      </c>
    </row>
    <row r="200">
      <c r="A200" s="9" t="n"/>
      <c r="B200" s="8" t="n"/>
      <c r="C200">
        <f>IF(B200="","",IFERROR(VLOOKUP(B200,Accounts!$A:$D,4,FALSE),""))</f>
        <v/>
      </c>
      <c r="D200" s="8" t="n"/>
      <c r="E200" s="8" t="n"/>
      <c r="F200" s="8" t="n"/>
      <c r="G200" s="8" t="n"/>
      <c r="H200" s="8" t="n"/>
      <c r="I200" s="8" t="n"/>
      <c r="J200" s="8" t="n"/>
      <c r="K200">
        <f>IF(B200="","",SUMIFS(Videos!$F:$F,Videos!$B:$B,B200,Videos!$E:$E,A200))</f>
        <v/>
      </c>
      <c r="L200" s="3">
        <f>IF(OR(K200="",K200=0),"",(D200+E200)/K200*1000)</f>
        <v/>
      </c>
      <c r="M200" s="10">
        <f>IF(OR(B200="",D200+E200=0),"",G200/(D200+E200))</f>
        <v/>
      </c>
      <c r="N200" s="3">
        <f>IF(OR(K200="",K200=0),"",G200/K200*10000)</f>
        <v/>
      </c>
    </row>
    <row r="201">
      <c r="A201" s="9" t="n"/>
      <c r="B201" s="8" t="n"/>
      <c r="C201">
        <f>IF(B201="","",IFERROR(VLOOKUP(B201,Accounts!$A:$D,4,FALSE),""))</f>
        <v/>
      </c>
      <c r="D201" s="8" t="n"/>
      <c r="E201" s="8" t="n"/>
      <c r="F201" s="8" t="n"/>
      <c r="G201" s="8" t="n"/>
      <c r="H201" s="8" t="n"/>
      <c r="I201" s="8" t="n"/>
      <c r="J201" s="8" t="n"/>
      <c r="K201">
        <f>IF(B201="","",SUMIFS(Videos!$F:$F,Videos!$B:$B,B201,Videos!$E:$E,A201))</f>
        <v/>
      </c>
      <c r="L201" s="3">
        <f>IF(OR(K201="",K201=0),"",(D201+E201)/K201*1000)</f>
        <v/>
      </c>
      <c r="M201" s="10">
        <f>IF(OR(B201="",D201+E201=0),"",G201/(D201+E201))</f>
        <v/>
      </c>
      <c r="N201" s="3">
        <f>IF(OR(K201="",K201=0),"",G201/K201*10000)</f>
        <v/>
      </c>
    </row>
    <row r="202">
      <c r="A202" s="9" t="n"/>
      <c r="B202" s="8" t="n"/>
      <c r="C202">
        <f>IF(B202="","",IFERROR(VLOOKUP(B202,Accounts!$A:$D,4,FALSE),""))</f>
        <v/>
      </c>
      <c r="D202" s="8" t="n"/>
      <c r="E202" s="8" t="n"/>
      <c r="F202" s="8" t="n"/>
      <c r="G202" s="8" t="n"/>
      <c r="H202" s="8" t="n"/>
      <c r="I202" s="8" t="n"/>
      <c r="J202" s="8" t="n"/>
      <c r="K202">
        <f>IF(B202="","",SUMIFS(Videos!$F:$F,Videos!$B:$B,B202,Videos!$E:$E,A202))</f>
        <v/>
      </c>
      <c r="L202" s="3">
        <f>IF(OR(K202="",K202=0),"",(D202+E202)/K202*1000)</f>
        <v/>
      </c>
      <c r="M202" s="10">
        <f>IF(OR(B202="",D202+E202=0),"",G202/(D202+E202))</f>
        <v/>
      </c>
      <c r="N202" s="3">
        <f>IF(OR(K202="",K202=0),"",G202/K202*10000)</f>
        <v/>
      </c>
    </row>
    <row r="203">
      <c r="A203" s="9" t="n"/>
      <c r="B203" s="8" t="n"/>
      <c r="C203">
        <f>IF(B203="","",IFERROR(VLOOKUP(B203,Accounts!$A:$D,4,FALSE),""))</f>
        <v/>
      </c>
      <c r="D203" s="8" t="n"/>
      <c r="E203" s="8" t="n"/>
      <c r="F203" s="8" t="n"/>
      <c r="G203" s="8" t="n"/>
      <c r="H203" s="8" t="n"/>
      <c r="I203" s="8" t="n"/>
      <c r="J203" s="8" t="n"/>
      <c r="K203">
        <f>IF(B203="","",SUMIFS(Videos!$F:$F,Videos!$B:$B,B203,Videos!$E:$E,A203))</f>
        <v/>
      </c>
      <c r="L203" s="3">
        <f>IF(OR(K203="",K203=0),"",(D203+E203)/K203*1000)</f>
        <v/>
      </c>
      <c r="M203" s="10">
        <f>IF(OR(B203="",D203+E203=0),"",G203/(D203+E203))</f>
        <v/>
      </c>
      <c r="N203" s="3">
        <f>IF(OR(K203="",K203=0),"",G203/K203*10000)</f>
        <v/>
      </c>
    </row>
    <row r="204">
      <c r="A204" s="9" t="n"/>
      <c r="B204" s="8" t="n"/>
      <c r="C204">
        <f>IF(B204="","",IFERROR(VLOOKUP(B204,Accounts!$A:$D,4,FALSE),""))</f>
        <v/>
      </c>
      <c r="D204" s="8" t="n"/>
      <c r="E204" s="8" t="n"/>
      <c r="F204" s="8" t="n"/>
      <c r="G204" s="8" t="n"/>
      <c r="H204" s="8" t="n"/>
      <c r="I204" s="8" t="n"/>
      <c r="J204" s="8" t="n"/>
      <c r="K204">
        <f>IF(B204="","",SUMIFS(Videos!$F:$F,Videos!$B:$B,B204,Videos!$E:$E,A204))</f>
        <v/>
      </c>
      <c r="L204" s="3">
        <f>IF(OR(K204="",K204=0),"",(D204+E204)/K204*1000)</f>
        <v/>
      </c>
      <c r="M204" s="10">
        <f>IF(OR(B204="",D204+E204=0),"",G204/(D204+E204))</f>
        <v/>
      </c>
      <c r="N204" s="3">
        <f>IF(OR(K204="",K204=0),"",G204/K204*10000)</f>
        <v/>
      </c>
    </row>
    <row r="205">
      <c r="A205" s="9" t="n"/>
      <c r="B205" s="8" t="n"/>
      <c r="C205">
        <f>IF(B205="","",IFERROR(VLOOKUP(B205,Accounts!$A:$D,4,FALSE),""))</f>
        <v/>
      </c>
      <c r="D205" s="8" t="n"/>
      <c r="E205" s="8" t="n"/>
      <c r="F205" s="8" t="n"/>
      <c r="G205" s="8" t="n"/>
      <c r="H205" s="8" t="n"/>
      <c r="I205" s="8" t="n"/>
      <c r="J205" s="8" t="n"/>
      <c r="K205">
        <f>IF(B205="","",SUMIFS(Videos!$F:$F,Videos!$B:$B,B205,Videos!$E:$E,A205))</f>
        <v/>
      </c>
      <c r="L205" s="3">
        <f>IF(OR(K205="",K205=0),"",(D205+E205)/K205*1000)</f>
        <v/>
      </c>
      <c r="M205" s="10">
        <f>IF(OR(B205="",D205+E205=0),"",G205/(D205+E205))</f>
        <v/>
      </c>
      <c r="N205" s="3">
        <f>IF(OR(K205="",K205=0),"",G205/K205*10000)</f>
        <v/>
      </c>
    </row>
    <row r="206">
      <c r="A206" s="9" t="n"/>
      <c r="B206" s="8" t="n"/>
      <c r="C206">
        <f>IF(B206="","",IFERROR(VLOOKUP(B206,Accounts!$A:$D,4,FALSE),""))</f>
        <v/>
      </c>
      <c r="D206" s="8" t="n"/>
      <c r="E206" s="8" t="n"/>
      <c r="F206" s="8" t="n"/>
      <c r="G206" s="8" t="n"/>
      <c r="H206" s="8" t="n"/>
      <c r="I206" s="8" t="n"/>
      <c r="J206" s="8" t="n"/>
      <c r="K206">
        <f>IF(B206="","",SUMIFS(Videos!$F:$F,Videos!$B:$B,B206,Videos!$E:$E,A206))</f>
        <v/>
      </c>
      <c r="L206" s="3">
        <f>IF(OR(K206="",K206=0),"",(D206+E206)/K206*1000)</f>
        <v/>
      </c>
      <c r="M206" s="10">
        <f>IF(OR(B206="",D206+E206=0),"",G206/(D206+E206))</f>
        <v/>
      </c>
      <c r="N206" s="3">
        <f>IF(OR(K206="",K206=0),"",G206/K206*10000)</f>
        <v/>
      </c>
    </row>
    <row r="207">
      <c r="A207" s="9" t="n"/>
      <c r="B207" s="8" t="n"/>
      <c r="C207">
        <f>IF(B207="","",IFERROR(VLOOKUP(B207,Accounts!$A:$D,4,FALSE),""))</f>
        <v/>
      </c>
      <c r="D207" s="8" t="n"/>
      <c r="E207" s="8" t="n"/>
      <c r="F207" s="8" t="n"/>
      <c r="G207" s="8" t="n"/>
      <c r="H207" s="8" t="n"/>
      <c r="I207" s="8" t="n"/>
      <c r="J207" s="8" t="n"/>
      <c r="K207">
        <f>IF(B207="","",SUMIFS(Videos!$F:$F,Videos!$B:$B,B207,Videos!$E:$E,A207))</f>
        <v/>
      </c>
      <c r="L207" s="3">
        <f>IF(OR(K207="",K207=0),"",(D207+E207)/K207*1000)</f>
        <v/>
      </c>
      <c r="M207" s="10">
        <f>IF(OR(B207="",D207+E207=0),"",G207/(D207+E207))</f>
        <v/>
      </c>
      <c r="N207" s="3">
        <f>IF(OR(K207="",K207=0),"",G207/K207*10000)</f>
        <v/>
      </c>
    </row>
    <row r="208">
      <c r="A208" s="9" t="n"/>
      <c r="B208" s="8" t="n"/>
      <c r="C208">
        <f>IF(B208="","",IFERROR(VLOOKUP(B208,Accounts!$A:$D,4,FALSE),""))</f>
        <v/>
      </c>
      <c r="D208" s="8" t="n"/>
      <c r="E208" s="8" t="n"/>
      <c r="F208" s="8" t="n"/>
      <c r="G208" s="8" t="n"/>
      <c r="H208" s="8" t="n"/>
      <c r="I208" s="8" t="n"/>
      <c r="J208" s="8" t="n"/>
      <c r="K208">
        <f>IF(B208="","",SUMIFS(Videos!$F:$F,Videos!$B:$B,B208,Videos!$E:$E,A208))</f>
        <v/>
      </c>
      <c r="L208" s="3">
        <f>IF(OR(K208="",K208=0),"",(D208+E208)/K208*1000)</f>
        <v/>
      </c>
      <c r="M208" s="10">
        <f>IF(OR(B208="",D208+E208=0),"",G208/(D208+E208))</f>
        <v/>
      </c>
      <c r="N208" s="3">
        <f>IF(OR(K208="",K208=0),"",G208/K208*10000)</f>
        <v/>
      </c>
    </row>
    <row r="209">
      <c r="A209" s="9" t="n"/>
      <c r="B209" s="8" t="n"/>
      <c r="C209">
        <f>IF(B209="","",IFERROR(VLOOKUP(B209,Accounts!$A:$D,4,FALSE),""))</f>
        <v/>
      </c>
      <c r="D209" s="8" t="n"/>
      <c r="E209" s="8" t="n"/>
      <c r="F209" s="8" t="n"/>
      <c r="G209" s="8" t="n"/>
      <c r="H209" s="8" t="n"/>
      <c r="I209" s="8" t="n"/>
      <c r="J209" s="8" t="n"/>
      <c r="K209">
        <f>IF(B209="","",SUMIFS(Videos!$F:$F,Videos!$B:$B,B209,Videos!$E:$E,A209))</f>
        <v/>
      </c>
      <c r="L209" s="3">
        <f>IF(OR(K209="",K209=0),"",(D209+E209)/K209*1000)</f>
        <v/>
      </c>
      <c r="M209" s="10">
        <f>IF(OR(B209="",D209+E209=0),"",G209/(D209+E209))</f>
        <v/>
      </c>
      <c r="N209" s="3">
        <f>IF(OR(K209="",K209=0),"",G209/K209*10000)</f>
        <v/>
      </c>
    </row>
    <row r="210">
      <c r="A210" s="9" t="n"/>
      <c r="B210" s="8" t="n"/>
      <c r="C210">
        <f>IF(B210="","",IFERROR(VLOOKUP(B210,Accounts!$A:$D,4,FALSE),""))</f>
        <v/>
      </c>
      <c r="D210" s="8" t="n"/>
      <c r="E210" s="8" t="n"/>
      <c r="F210" s="8" t="n"/>
      <c r="G210" s="8" t="n"/>
      <c r="H210" s="8" t="n"/>
      <c r="I210" s="8" t="n"/>
      <c r="J210" s="8" t="n"/>
      <c r="K210">
        <f>IF(B210="","",SUMIFS(Videos!$F:$F,Videos!$B:$B,B210,Videos!$E:$E,A210))</f>
        <v/>
      </c>
      <c r="L210" s="3">
        <f>IF(OR(K210="",K210=0),"",(D210+E210)/K210*1000)</f>
        <v/>
      </c>
      <c r="M210" s="10">
        <f>IF(OR(B210="",D210+E210=0),"",G210/(D210+E210))</f>
        <v/>
      </c>
      <c r="N210" s="3">
        <f>IF(OR(K210="",K210=0),"",G210/K210*10000)</f>
        <v/>
      </c>
    </row>
    <row r="211">
      <c r="A211" s="9" t="n"/>
      <c r="B211" s="8" t="n"/>
      <c r="C211">
        <f>IF(B211="","",IFERROR(VLOOKUP(B211,Accounts!$A:$D,4,FALSE),""))</f>
        <v/>
      </c>
      <c r="D211" s="8" t="n"/>
      <c r="E211" s="8" t="n"/>
      <c r="F211" s="8" t="n"/>
      <c r="G211" s="8" t="n"/>
      <c r="H211" s="8" t="n"/>
      <c r="I211" s="8" t="n"/>
      <c r="J211" s="8" t="n"/>
      <c r="K211">
        <f>IF(B211="","",SUMIFS(Videos!$F:$F,Videos!$B:$B,B211,Videos!$E:$E,A211))</f>
        <v/>
      </c>
      <c r="L211" s="3">
        <f>IF(OR(K211="",K211=0),"",(D211+E211)/K211*1000)</f>
        <v/>
      </c>
      <c r="M211" s="10">
        <f>IF(OR(B211="",D211+E211=0),"",G211/(D211+E211))</f>
        <v/>
      </c>
      <c r="N211" s="3">
        <f>IF(OR(K211="",K211=0),"",G211/K211*10000)</f>
        <v/>
      </c>
    </row>
    <row r="212">
      <c r="A212" s="9" t="n"/>
      <c r="B212" s="8" t="n"/>
      <c r="C212">
        <f>IF(B212="","",IFERROR(VLOOKUP(B212,Accounts!$A:$D,4,FALSE),""))</f>
        <v/>
      </c>
      <c r="D212" s="8" t="n"/>
      <c r="E212" s="8" t="n"/>
      <c r="F212" s="8" t="n"/>
      <c r="G212" s="8" t="n"/>
      <c r="H212" s="8" t="n"/>
      <c r="I212" s="8" t="n"/>
      <c r="J212" s="8" t="n"/>
      <c r="K212">
        <f>IF(B212="","",SUMIFS(Videos!$F:$F,Videos!$B:$B,B212,Videos!$E:$E,A212))</f>
        <v/>
      </c>
      <c r="L212" s="3">
        <f>IF(OR(K212="",K212=0),"",(D212+E212)/K212*1000)</f>
        <v/>
      </c>
      <c r="M212" s="10">
        <f>IF(OR(B212="",D212+E212=0),"",G212/(D212+E212))</f>
        <v/>
      </c>
      <c r="N212" s="3">
        <f>IF(OR(K212="",K212=0),"",G212/K212*10000)</f>
        <v/>
      </c>
    </row>
    <row r="213">
      <c r="A213" s="9" t="n"/>
      <c r="B213" s="8" t="n"/>
      <c r="C213">
        <f>IF(B213="","",IFERROR(VLOOKUP(B213,Accounts!$A:$D,4,FALSE),""))</f>
        <v/>
      </c>
      <c r="D213" s="8" t="n"/>
      <c r="E213" s="8" t="n"/>
      <c r="F213" s="8" t="n"/>
      <c r="G213" s="8" t="n"/>
      <c r="H213" s="8" t="n"/>
      <c r="I213" s="8" t="n"/>
      <c r="J213" s="8" t="n"/>
      <c r="K213">
        <f>IF(B213="","",SUMIFS(Videos!$F:$F,Videos!$B:$B,B213,Videos!$E:$E,A213))</f>
        <v/>
      </c>
      <c r="L213" s="3">
        <f>IF(OR(K213="",K213=0),"",(D213+E213)/K213*1000)</f>
        <v/>
      </c>
      <c r="M213" s="10">
        <f>IF(OR(B213="",D213+E213=0),"",G213/(D213+E213))</f>
        <v/>
      </c>
      <c r="N213" s="3">
        <f>IF(OR(K213="",K213=0),"",G213/K213*10000)</f>
        <v/>
      </c>
    </row>
    <row r="214">
      <c r="A214" s="9" t="n"/>
      <c r="B214" s="8" t="n"/>
      <c r="C214">
        <f>IF(B214="","",IFERROR(VLOOKUP(B214,Accounts!$A:$D,4,FALSE),""))</f>
        <v/>
      </c>
      <c r="D214" s="8" t="n"/>
      <c r="E214" s="8" t="n"/>
      <c r="F214" s="8" t="n"/>
      <c r="G214" s="8" t="n"/>
      <c r="H214" s="8" t="n"/>
      <c r="I214" s="8" t="n"/>
      <c r="J214" s="8" t="n"/>
      <c r="K214">
        <f>IF(B214="","",SUMIFS(Videos!$F:$F,Videos!$B:$B,B214,Videos!$E:$E,A214))</f>
        <v/>
      </c>
      <c r="L214" s="3">
        <f>IF(OR(K214="",K214=0),"",(D214+E214)/K214*1000)</f>
        <v/>
      </c>
      <c r="M214" s="10">
        <f>IF(OR(B214="",D214+E214=0),"",G214/(D214+E214))</f>
        <v/>
      </c>
      <c r="N214" s="3">
        <f>IF(OR(K214="",K214=0),"",G214/K214*10000)</f>
        <v/>
      </c>
    </row>
    <row r="215">
      <c r="A215" s="9" t="n"/>
      <c r="B215" s="8" t="n"/>
      <c r="C215">
        <f>IF(B215="","",IFERROR(VLOOKUP(B215,Accounts!$A:$D,4,FALSE),""))</f>
        <v/>
      </c>
      <c r="D215" s="8" t="n"/>
      <c r="E215" s="8" t="n"/>
      <c r="F215" s="8" t="n"/>
      <c r="G215" s="8" t="n"/>
      <c r="H215" s="8" t="n"/>
      <c r="I215" s="8" t="n"/>
      <c r="J215" s="8" t="n"/>
      <c r="K215">
        <f>IF(B215="","",SUMIFS(Videos!$F:$F,Videos!$B:$B,B215,Videos!$E:$E,A215))</f>
        <v/>
      </c>
      <c r="L215" s="3">
        <f>IF(OR(K215="",K215=0),"",(D215+E215)/K215*1000)</f>
        <v/>
      </c>
      <c r="M215" s="10">
        <f>IF(OR(B215="",D215+E215=0),"",G215/(D215+E215))</f>
        <v/>
      </c>
      <c r="N215" s="3">
        <f>IF(OR(K215="",K215=0),"",G215/K215*10000)</f>
        <v/>
      </c>
    </row>
    <row r="216">
      <c r="A216" s="9" t="n"/>
      <c r="B216" s="8" t="n"/>
      <c r="C216">
        <f>IF(B216="","",IFERROR(VLOOKUP(B216,Accounts!$A:$D,4,FALSE),""))</f>
        <v/>
      </c>
      <c r="D216" s="8" t="n"/>
      <c r="E216" s="8" t="n"/>
      <c r="F216" s="8" t="n"/>
      <c r="G216" s="8" t="n"/>
      <c r="H216" s="8" t="n"/>
      <c r="I216" s="8" t="n"/>
      <c r="J216" s="8" t="n"/>
      <c r="K216">
        <f>IF(B216="","",SUMIFS(Videos!$F:$F,Videos!$B:$B,B216,Videos!$E:$E,A216))</f>
        <v/>
      </c>
      <c r="L216" s="3">
        <f>IF(OR(K216="",K216=0),"",(D216+E216)/K216*1000)</f>
        <v/>
      </c>
      <c r="M216" s="10">
        <f>IF(OR(B216="",D216+E216=0),"",G216/(D216+E216))</f>
        <v/>
      </c>
      <c r="N216" s="3">
        <f>IF(OR(K216="",K216=0),"",G216/K216*10000)</f>
        <v/>
      </c>
    </row>
    <row r="217">
      <c r="A217" s="9" t="n"/>
      <c r="B217" s="8" t="n"/>
      <c r="C217">
        <f>IF(B217="","",IFERROR(VLOOKUP(B217,Accounts!$A:$D,4,FALSE),""))</f>
        <v/>
      </c>
      <c r="D217" s="8" t="n"/>
      <c r="E217" s="8" t="n"/>
      <c r="F217" s="8" t="n"/>
      <c r="G217" s="8" t="n"/>
      <c r="H217" s="8" t="n"/>
      <c r="I217" s="8" t="n"/>
      <c r="J217" s="8" t="n"/>
      <c r="K217">
        <f>IF(B217="","",SUMIFS(Videos!$F:$F,Videos!$B:$B,B217,Videos!$E:$E,A217))</f>
        <v/>
      </c>
      <c r="L217" s="3">
        <f>IF(OR(K217="",K217=0),"",(D217+E217)/K217*1000)</f>
        <v/>
      </c>
      <c r="M217" s="10">
        <f>IF(OR(B217="",D217+E217=0),"",G217/(D217+E217))</f>
        <v/>
      </c>
      <c r="N217" s="3">
        <f>IF(OR(K217="",K217=0),"",G217/K217*10000)</f>
        <v/>
      </c>
    </row>
    <row r="218">
      <c r="A218" s="9" t="n"/>
      <c r="B218" s="8" t="n"/>
      <c r="C218">
        <f>IF(B218="","",IFERROR(VLOOKUP(B218,Accounts!$A:$D,4,FALSE),""))</f>
        <v/>
      </c>
      <c r="D218" s="8" t="n"/>
      <c r="E218" s="8" t="n"/>
      <c r="F218" s="8" t="n"/>
      <c r="G218" s="8" t="n"/>
      <c r="H218" s="8" t="n"/>
      <c r="I218" s="8" t="n"/>
      <c r="J218" s="8" t="n"/>
      <c r="K218">
        <f>IF(B218="","",SUMIFS(Videos!$F:$F,Videos!$B:$B,B218,Videos!$E:$E,A218))</f>
        <v/>
      </c>
      <c r="L218" s="3">
        <f>IF(OR(K218="",K218=0),"",(D218+E218)/K218*1000)</f>
        <v/>
      </c>
      <c r="M218" s="10">
        <f>IF(OR(B218="",D218+E218=0),"",G218/(D218+E218))</f>
        <v/>
      </c>
      <c r="N218" s="3">
        <f>IF(OR(K218="",K218=0),"",G218/K218*10000)</f>
        <v/>
      </c>
    </row>
    <row r="219">
      <c r="A219" s="9" t="n"/>
      <c r="B219" s="8" t="n"/>
      <c r="C219">
        <f>IF(B219="","",IFERROR(VLOOKUP(B219,Accounts!$A:$D,4,FALSE),""))</f>
        <v/>
      </c>
      <c r="D219" s="8" t="n"/>
      <c r="E219" s="8" t="n"/>
      <c r="F219" s="8" t="n"/>
      <c r="G219" s="8" t="n"/>
      <c r="H219" s="8" t="n"/>
      <c r="I219" s="8" t="n"/>
      <c r="J219" s="8" t="n"/>
      <c r="K219">
        <f>IF(B219="","",SUMIFS(Videos!$F:$F,Videos!$B:$B,B219,Videos!$E:$E,A219))</f>
        <v/>
      </c>
      <c r="L219" s="3">
        <f>IF(OR(K219="",K219=0),"",(D219+E219)/K219*1000)</f>
        <v/>
      </c>
      <c r="M219" s="10">
        <f>IF(OR(B219="",D219+E219=0),"",G219/(D219+E219))</f>
        <v/>
      </c>
      <c r="N219" s="3">
        <f>IF(OR(K219="",K219=0),"",G219/K219*10000)</f>
        <v/>
      </c>
    </row>
    <row r="220">
      <c r="A220" s="9" t="n"/>
      <c r="B220" s="8" t="n"/>
      <c r="C220">
        <f>IF(B220="","",IFERROR(VLOOKUP(B220,Accounts!$A:$D,4,FALSE),""))</f>
        <v/>
      </c>
      <c r="D220" s="8" t="n"/>
      <c r="E220" s="8" t="n"/>
      <c r="F220" s="8" t="n"/>
      <c r="G220" s="8" t="n"/>
      <c r="H220" s="8" t="n"/>
      <c r="I220" s="8" t="n"/>
      <c r="J220" s="8" t="n"/>
      <c r="K220">
        <f>IF(B220="","",SUMIFS(Videos!$F:$F,Videos!$B:$B,B220,Videos!$E:$E,A220))</f>
        <v/>
      </c>
      <c r="L220" s="3">
        <f>IF(OR(K220="",K220=0),"",(D220+E220)/K220*1000)</f>
        <v/>
      </c>
      <c r="M220" s="10">
        <f>IF(OR(B220="",D220+E220=0),"",G220/(D220+E220))</f>
        <v/>
      </c>
      <c r="N220" s="3">
        <f>IF(OR(K220="",K220=0),"",G220/K220*10000)</f>
        <v/>
      </c>
    </row>
    <row r="221">
      <c r="A221" s="9" t="n"/>
      <c r="B221" s="8" t="n"/>
      <c r="C221">
        <f>IF(B221="","",IFERROR(VLOOKUP(B221,Accounts!$A:$D,4,FALSE),""))</f>
        <v/>
      </c>
      <c r="D221" s="8" t="n"/>
      <c r="E221" s="8" t="n"/>
      <c r="F221" s="8" t="n"/>
      <c r="G221" s="8" t="n"/>
      <c r="H221" s="8" t="n"/>
      <c r="I221" s="8" t="n"/>
      <c r="J221" s="8" t="n"/>
      <c r="K221">
        <f>IF(B221="","",SUMIFS(Videos!$F:$F,Videos!$B:$B,B221,Videos!$E:$E,A221))</f>
        <v/>
      </c>
      <c r="L221" s="3">
        <f>IF(OR(K221="",K221=0),"",(D221+E221)/K221*1000)</f>
        <v/>
      </c>
      <c r="M221" s="10">
        <f>IF(OR(B221="",D221+E221=0),"",G221/(D221+E221))</f>
        <v/>
      </c>
      <c r="N221" s="3">
        <f>IF(OR(K221="",K221=0),"",G221/K221*10000)</f>
        <v/>
      </c>
    </row>
    <row r="222">
      <c r="A222" s="9" t="n"/>
      <c r="B222" s="8" t="n"/>
      <c r="C222">
        <f>IF(B222="","",IFERROR(VLOOKUP(B222,Accounts!$A:$D,4,FALSE),""))</f>
        <v/>
      </c>
      <c r="D222" s="8" t="n"/>
      <c r="E222" s="8" t="n"/>
      <c r="F222" s="8" t="n"/>
      <c r="G222" s="8" t="n"/>
      <c r="H222" s="8" t="n"/>
      <c r="I222" s="8" t="n"/>
      <c r="J222" s="8" t="n"/>
      <c r="K222">
        <f>IF(B222="","",SUMIFS(Videos!$F:$F,Videos!$B:$B,B222,Videos!$E:$E,A222))</f>
        <v/>
      </c>
      <c r="L222" s="3">
        <f>IF(OR(K222="",K222=0),"",(D222+E222)/K222*1000)</f>
        <v/>
      </c>
      <c r="M222" s="10">
        <f>IF(OR(B222="",D222+E222=0),"",G222/(D222+E222))</f>
        <v/>
      </c>
      <c r="N222" s="3">
        <f>IF(OR(K222="",K222=0),"",G222/K222*10000)</f>
        <v/>
      </c>
    </row>
    <row r="223">
      <c r="A223" s="9" t="n"/>
      <c r="B223" s="8" t="n"/>
      <c r="C223">
        <f>IF(B223="","",IFERROR(VLOOKUP(B223,Accounts!$A:$D,4,FALSE),""))</f>
        <v/>
      </c>
      <c r="D223" s="8" t="n"/>
      <c r="E223" s="8" t="n"/>
      <c r="F223" s="8" t="n"/>
      <c r="G223" s="8" t="n"/>
      <c r="H223" s="8" t="n"/>
      <c r="I223" s="8" t="n"/>
      <c r="J223" s="8" t="n"/>
      <c r="K223">
        <f>IF(B223="","",SUMIFS(Videos!$F:$F,Videos!$B:$B,B223,Videos!$E:$E,A223))</f>
        <v/>
      </c>
      <c r="L223" s="3">
        <f>IF(OR(K223="",K223=0),"",(D223+E223)/K223*1000)</f>
        <v/>
      </c>
      <c r="M223" s="10">
        <f>IF(OR(B223="",D223+E223=0),"",G223/(D223+E223))</f>
        <v/>
      </c>
      <c r="N223" s="3">
        <f>IF(OR(K223="",K223=0),"",G223/K223*10000)</f>
        <v/>
      </c>
    </row>
    <row r="224">
      <c r="A224" s="9" t="n"/>
      <c r="B224" s="8" t="n"/>
      <c r="C224">
        <f>IF(B224="","",IFERROR(VLOOKUP(B224,Accounts!$A:$D,4,FALSE),""))</f>
        <v/>
      </c>
      <c r="D224" s="8" t="n"/>
      <c r="E224" s="8" t="n"/>
      <c r="F224" s="8" t="n"/>
      <c r="G224" s="8" t="n"/>
      <c r="H224" s="8" t="n"/>
      <c r="I224" s="8" t="n"/>
      <c r="J224" s="8" t="n"/>
      <c r="K224">
        <f>IF(B224="","",SUMIFS(Videos!$F:$F,Videos!$B:$B,B224,Videos!$E:$E,A224))</f>
        <v/>
      </c>
      <c r="L224" s="3">
        <f>IF(OR(K224="",K224=0),"",(D224+E224)/K224*1000)</f>
        <v/>
      </c>
      <c r="M224" s="10">
        <f>IF(OR(B224="",D224+E224=0),"",G224/(D224+E224))</f>
        <v/>
      </c>
      <c r="N224" s="3">
        <f>IF(OR(K224="",K224=0),"",G224/K224*10000)</f>
        <v/>
      </c>
    </row>
    <row r="225">
      <c r="A225" s="9" t="n"/>
      <c r="B225" s="8" t="n"/>
      <c r="C225">
        <f>IF(B225="","",IFERROR(VLOOKUP(B225,Accounts!$A:$D,4,FALSE),""))</f>
        <v/>
      </c>
      <c r="D225" s="8" t="n"/>
      <c r="E225" s="8" t="n"/>
      <c r="F225" s="8" t="n"/>
      <c r="G225" s="8" t="n"/>
      <c r="H225" s="8" t="n"/>
      <c r="I225" s="8" t="n"/>
      <c r="J225" s="8" t="n"/>
      <c r="K225">
        <f>IF(B225="","",SUMIFS(Videos!$F:$F,Videos!$B:$B,B225,Videos!$E:$E,A225))</f>
        <v/>
      </c>
      <c r="L225" s="3">
        <f>IF(OR(K225="",K225=0),"",(D225+E225)/K225*1000)</f>
        <v/>
      </c>
      <c r="M225" s="10">
        <f>IF(OR(B225="",D225+E225=0),"",G225/(D225+E225))</f>
        <v/>
      </c>
      <c r="N225" s="3">
        <f>IF(OR(K225="",K225=0),"",G225/K225*10000)</f>
        <v/>
      </c>
    </row>
    <row r="226">
      <c r="A226" s="9" t="n"/>
      <c r="B226" s="8" t="n"/>
      <c r="C226">
        <f>IF(B226="","",IFERROR(VLOOKUP(B226,Accounts!$A:$D,4,FALSE),""))</f>
        <v/>
      </c>
      <c r="D226" s="8" t="n"/>
      <c r="E226" s="8" t="n"/>
      <c r="F226" s="8" t="n"/>
      <c r="G226" s="8" t="n"/>
      <c r="H226" s="8" t="n"/>
      <c r="I226" s="8" t="n"/>
      <c r="J226" s="8" t="n"/>
      <c r="K226">
        <f>IF(B226="","",SUMIFS(Videos!$F:$F,Videos!$B:$B,B226,Videos!$E:$E,A226))</f>
        <v/>
      </c>
      <c r="L226" s="3">
        <f>IF(OR(K226="",K226=0),"",(D226+E226)/K226*1000)</f>
        <v/>
      </c>
      <c r="M226" s="10">
        <f>IF(OR(B226="",D226+E226=0),"",G226/(D226+E226))</f>
        <v/>
      </c>
      <c r="N226" s="3">
        <f>IF(OR(K226="",K226=0),"",G226/K226*10000)</f>
        <v/>
      </c>
    </row>
    <row r="227">
      <c r="A227" s="9" t="n"/>
      <c r="B227" s="8" t="n"/>
      <c r="C227">
        <f>IF(B227="","",IFERROR(VLOOKUP(B227,Accounts!$A:$D,4,FALSE),""))</f>
        <v/>
      </c>
      <c r="D227" s="8" t="n"/>
      <c r="E227" s="8" t="n"/>
      <c r="F227" s="8" t="n"/>
      <c r="G227" s="8" t="n"/>
      <c r="H227" s="8" t="n"/>
      <c r="I227" s="8" t="n"/>
      <c r="J227" s="8" t="n"/>
      <c r="K227">
        <f>IF(B227="","",SUMIFS(Videos!$F:$F,Videos!$B:$B,B227,Videos!$E:$E,A227))</f>
        <v/>
      </c>
      <c r="L227" s="3">
        <f>IF(OR(K227="",K227=0),"",(D227+E227)/K227*1000)</f>
        <v/>
      </c>
      <c r="M227" s="10">
        <f>IF(OR(B227="",D227+E227=0),"",G227/(D227+E227))</f>
        <v/>
      </c>
      <c r="N227" s="3">
        <f>IF(OR(K227="",K227=0),"",G227/K227*10000)</f>
        <v/>
      </c>
    </row>
    <row r="228">
      <c r="A228" s="9" t="n"/>
      <c r="B228" s="8" t="n"/>
      <c r="C228">
        <f>IF(B228="","",IFERROR(VLOOKUP(B228,Accounts!$A:$D,4,FALSE),""))</f>
        <v/>
      </c>
      <c r="D228" s="8" t="n"/>
      <c r="E228" s="8" t="n"/>
      <c r="F228" s="8" t="n"/>
      <c r="G228" s="8" t="n"/>
      <c r="H228" s="8" t="n"/>
      <c r="I228" s="8" t="n"/>
      <c r="J228" s="8" t="n"/>
      <c r="K228">
        <f>IF(B228="","",SUMIFS(Videos!$F:$F,Videos!$B:$B,B228,Videos!$E:$E,A228))</f>
        <v/>
      </c>
      <c r="L228" s="3">
        <f>IF(OR(K228="",K228=0),"",(D228+E228)/K228*1000)</f>
        <v/>
      </c>
      <c r="M228" s="10">
        <f>IF(OR(B228="",D228+E228=0),"",G228/(D228+E228))</f>
        <v/>
      </c>
      <c r="N228" s="3">
        <f>IF(OR(K228="",K228=0),"",G228/K228*10000)</f>
        <v/>
      </c>
    </row>
    <row r="229">
      <c r="A229" s="9" t="n"/>
      <c r="B229" s="8" t="n"/>
      <c r="C229">
        <f>IF(B229="","",IFERROR(VLOOKUP(B229,Accounts!$A:$D,4,FALSE),""))</f>
        <v/>
      </c>
      <c r="D229" s="8" t="n"/>
      <c r="E229" s="8" t="n"/>
      <c r="F229" s="8" t="n"/>
      <c r="G229" s="8" t="n"/>
      <c r="H229" s="8" t="n"/>
      <c r="I229" s="8" t="n"/>
      <c r="J229" s="8" t="n"/>
      <c r="K229">
        <f>IF(B229="","",SUMIFS(Videos!$F:$F,Videos!$B:$B,B229,Videos!$E:$E,A229))</f>
        <v/>
      </c>
      <c r="L229" s="3">
        <f>IF(OR(K229="",K229=0),"",(D229+E229)/K229*1000)</f>
        <v/>
      </c>
      <c r="M229" s="10">
        <f>IF(OR(B229="",D229+E229=0),"",G229/(D229+E229))</f>
        <v/>
      </c>
      <c r="N229" s="3">
        <f>IF(OR(K229="",K229=0),"",G229/K229*10000)</f>
        <v/>
      </c>
    </row>
    <row r="230">
      <c r="A230" s="9" t="n"/>
      <c r="B230" s="8" t="n"/>
      <c r="C230">
        <f>IF(B230="","",IFERROR(VLOOKUP(B230,Accounts!$A:$D,4,FALSE),""))</f>
        <v/>
      </c>
      <c r="D230" s="8" t="n"/>
      <c r="E230" s="8" t="n"/>
      <c r="F230" s="8" t="n"/>
      <c r="G230" s="8" t="n"/>
      <c r="H230" s="8" t="n"/>
      <c r="I230" s="8" t="n"/>
      <c r="J230" s="8" t="n"/>
      <c r="K230">
        <f>IF(B230="","",SUMIFS(Videos!$F:$F,Videos!$B:$B,B230,Videos!$E:$E,A230))</f>
        <v/>
      </c>
      <c r="L230" s="3">
        <f>IF(OR(K230="",K230=0),"",(D230+E230)/K230*1000)</f>
        <v/>
      </c>
      <c r="M230" s="10">
        <f>IF(OR(B230="",D230+E230=0),"",G230/(D230+E230))</f>
        <v/>
      </c>
      <c r="N230" s="3">
        <f>IF(OR(K230="",K230=0),"",G230/K230*10000)</f>
        <v/>
      </c>
    </row>
    <row r="231">
      <c r="A231" s="9" t="n"/>
      <c r="B231" s="8" t="n"/>
      <c r="C231">
        <f>IF(B231="","",IFERROR(VLOOKUP(B231,Accounts!$A:$D,4,FALSE),""))</f>
        <v/>
      </c>
      <c r="D231" s="8" t="n"/>
      <c r="E231" s="8" t="n"/>
      <c r="F231" s="8" t="n"/>
      <c r="G231" s="8" t="n"/>
      <c r="H231" s="8" t="n"/>
      <c r="I231" s="8" t="n"/>
      <c r="J231" s="8" t="n"/>
      <c r="K231">
        <f>IF(B231="","",SUMIFS(Videos!$F:$F,Videos!$B:$B,B231,Videos!$E:$E,A231))</f>
        <v/>
      </c>
      <c r="L231" s="3">
        <f>IF(OR(K231="",K231=0),"",(D231+E231)/K231*1000)</f>
        <v/>
      </c>
      <c r="M231" s="10">
        <f>IF(OR(B231="",D231+E231=0),"",G231/(D231+E231))</f>
        <v/>
      </c>
      <c r="N231" s="3">
        <f>IF(OR(K231="",K231=0),"",G231/K231*10000)</f>
        <v/>
      </c>
    </row>
    <row r="232">
      <c r="A232" s="9" t="n"/>
      <c r="B232" s="8" t="n"/>
      <c r="C232">
        <f>IF(B232="","",IFERROR(VLOOKUP(B232,Accounts!$A:$D,4,FALSE),""))</f>
        <v/>
      </c>
      <c r="D232" s="8" t="n"/>
      <c r="E232" s="8" t="n"/>
      <c r="F232" s="8" t="n"/>
      <c r="G232" s="8" t="n"/>
      <c r="H232" s="8" t="n"/>
      <c r="I232" s="8" t="n"/>
      <c r="J232" s="8" t="n"/>
      <c r="K232">
        <f>IF(B232="","",SUMIFS(Videos!$F:$F,Videos!$B:$B,B232,Videos!$E:$E,A232))</f>
        <v/>
      </c>
      <c r="L232" s="3">
        <f>IF(OR(K232="",K232=0),"",(D232+E232)/K232*1000)</f>
        <v/>
      </c>
      <c r="M232" s="10">
        <f>IF(OR(B232="",D232+E232=0),"",G232/(D232+E232))</f>
        <v/>
      </c>
      <c r="N232" s="3">
        <f>IF(OR(K232="",K232=0),"",G232/K232*10000)</f>
        <v/>
      </c>
    </row>
    <row r="233">
      <c r="A233" s="9" t="n"/>
      <c r="B233" s="8" t="n"/>
      <c r="C233">
        <f>IF(B233="","",IFERROR(VLOOKUP(B233,Accounts!$A:$D,4,FALSE),""))</f>
        <v/>
      </c>
      <c r="D233" s="8" t="n"/>
      <c r="E233" s="8" t="n"/>
      <c r="F233" s="8" t="n"/>
      <c r="G233" s="8" t="n"/>
      <c r="H233" s="8" t="n"/>
      <c r="I233" s="8" t="n"/>
      <c r="J233" s="8" t="n"/>
      <c r="K233">
        <f>IF(B233="","",SUMIFS(Videos!$F:$F,Videos!$B:$B,B233,Videos!$E:$E,A233))</f>
        <v/>
      </c>
      <c r="L233" s="3">
        <f>IF(OR(K233="",K233=0),"",(D233+E233)/K233*1000)</f>
        <v/>
      </c>
      <c r="M233" s="10">
        <f>IF(OR(B233="",D233+E233=0),"",G233/(D233+E233))</f>
        <v/>
      </c>
      <c r="N233" s="3">
        <f>IF(OR(K233="",K233=0),"",G233/K233*10000)</f>
        <v/>
      </c>
    </row>
    <row r="234">
      <c r="A234" s="9" t="n"/>
      <c r="B234" s="8" t="n"/>
      <c r="C234">
        <f>IF(B234="","",IFERROR(VLOOKUP(B234,Accounts!$A:$D,4,FALSE),""))</f>
        <v/>
      </c>
      <c r="D234" s="8" t="n"/>
      <c r="E234" s="8" t="n"/>
      <c r="F234" s="8" t="n"/>
      <c r="G234" s="8" t="n"/>
      <c r="H234" s="8" t="n"/>
      <c r="I234" s="8" t="n"/>
      <c r="J234" s="8" t="n"/>
      <c r="K234">
        <f>IF(B234="","",SUMIFS(Videos!$F:$F,Videos!$B:$B,B234,Videos!$E:$E,A234))</f>
        <v/>
      </c>
      <c r="L234" s="3">
        <f>IF(OR(K234="",K234=0),"",(D234+E234)/K234*1000)</f>
        <v/>
      </c>
      <c r="M234" s="10">
        <f>IF(OR(B234="",D234+E234=0),"",G234/(D234+E234))</f>
        <v/>
      </c>
      <c r="N234" s="3">
        <f>IF(OR(K234="",K234=0),"",G234/K234*10000)</f>
        <v/>
      </c>
    </row>
    <row r="235">
      <c r="A235" s="9" t="n"/>
      <c r="B235" s="8" t="n"/>
      <c r="C235">
        <f>IF(B235="","",IFERROR(VLOOKUP(B235,Accounts!$A:$D,4,FALSE),""))</f>
        <v/>
      </c>
      <c r="D235" s="8" t="n"/>
      <c r="E235" s="8" t="n"/>
      <c r="F235" s="8" t="n"/>
      <c r="G235" s="8" t="n"/>
      <c r="H235" s="8" t="n"/>
      <c r="I235" s="8" t="n"/>
      <c r="J235" s="8" t="n"/>
      <c r="K235">
        <f>IF(B235="","",SUMIFS(Videos!$F:$F,Videos!$B:$B,B235,Videos!$E:$E,A235))</f>
        <v/>
      </c>
      <c r="L235" s="3">
        <f>IF(OR(K235="",K235=0),"",(D235+E235)/K235*1000)</f>
        <v/>
      </c>
      <c r="M235" s="10">
        <f>IF(OR(B235="",D235+E235=0),"",G235/(D235+E235))</f>
        <v/>
      </c>
      <c r="N235" s="3">
        <f>IF(OR(K235="",K235=0),"",G235/K235*10000)</f>
        <v/>
      </c>
    </row>
    <row r="236">
      <c r="A236" s="9" t="n"/>
      <c r="B236" s="8" t="n"/>
      <c r="C236">
        <f>IF(B236="","",IFERROR(VLOOKUP(B236,Accounts!$A:$D,4,FALSE),""))</f>
        <v/>
      </c>
      <c r="D236" s="8" t="n"/>
      <c r="E236" s="8" t="n"/>
      <c r="F236" s="8" t="n"/>
      <c r="G236" s="8" t="n"/>
      <c r="H236" s="8" t="n"/>
      <c r="I236" s="8" t="n"/>
      <c r="J236" s="8" t="n"/>
      <c r="K236">
        <f>IF(B236="","",SUMIFS(Videos!$F:$F,Videos!$B:$B,B236,Videos!$E:$E,A236))</f>
        <v/>
      </c>
      <c r="L236" s="3">
        <f>IF(OR(K236="",K236=0),"",(D236+E236)/K236*1000)</f>
        <v/>
      </c>
      <c r="M236" s="10">
        <f>IF(OR(B236="",D236+E236=0),"",G236/(D236+E236))</f>
        <v/>
      </c>
      <c r="N236" s="3">
        <f>IF(OR(K236="",K236=0),"",G236/K236*10000)</f>
        <v/>
      </c>
    </row>
    <row r="237">
      <c r="A237" s="9" t="n"/>
      <c r="B237" s="8" t="n"/>
      <c r="C237">
        <f>IF(B237="","",IFERROR(VLOOKUP(B237,Accounts!$A:$D,4,FALSE),""))</f>
        <v/>
      </c>
      <c r="D237" s="8" t="n"/>
      <c r="E237" s="8" t="n"/>
      <c r="F237" s="8" t="n"/>
      <c r="G237" s="8" t="n"/>
      <c r="H237" s="8" t="n"/>
      <c r="I237" s="8" t="n"/>
      <c r="J237" s="8" t="n"/>
      <c r="K237">
        <f>IF(B237="","",SUMIFS(Videos!$F:$F,Videos!$B:$B,B237,Videos!$E:$E,A237))</f>
        <v/>
      </c>
      <c r="L237" s="3">
        <f>IF(OR(K237="",K237=0),"",(D237+E237)/K237*1000)</f>
        <v/>
      </c>
      <c r="M237" s="10">
        <f>IF(OR(B237="",D237+E237=0),"",G237/(D237+E237))</f>
        <v/>
      </c>
      <c r="N237" s="3">
        <f>IF(OR(K237="",K237=0),"",G237/K237*10000)</f>
        <v/>
      </c>
    </row>
    <row r="238">
      <c r="A238" s="9" t="n"/>
      <c r="B238" s="8" t="n"/>
      <c r="C238">
        <f>IF(B238="","",IFERROR(VLOOKUP(B238,Accounts!$A:$D,4,FALSE),""))</f>
        <v/>
      </c>
      <c r="D238" s="8" t="n"/>
      <c r="E238" s="8" t="n"/>
      <c r="F238" s="8" t="n"/>
      <c r="G238" s="8" t="n"/>
      <c r="H238" s="8" t="n"/>
      <c r="I238" s="8" t="n"/>
      <c r="J238" s="8" t="n"/>
      <c r="K238">
        <f>IF(B238="","",SUMIFS(Videos!$F:$F,Videos!$B:$B,B238,Videos!$E:$E,A238))</f>
        <v/>
      </c>
      <c r="L238" s="3">
        <f>IF(OR(K238="",K238=0),"",(D238+E238)/K238*1000)</f>
        <v/>
      </c>
      <c r="M238" s="10">
        <f>IF(OR(B238="",D238+E238=0),"",G238/(D238+E238))</f>
        <v/>
      </c>
      <c r="N238" s="3">
        <f>IF(OR(K238="",K238=0),"",G238/K238*10000)</f>
        <v/>
      </c>
    </row>
    <row r="239">
      <c r="A239" s="9" t="n"/>
      <c r="B239" s="8" t="n"/>
      <c r="C239">
        <f>IF(B239="","",IFERROR(VLOOKUP(B239,Accounts!$A:$D,4,FALSE),""))</f>
        <v/>
      </c>
      <c r="D239" s="8" t="n"/>
      <c r="E239" s="8" t="n"/>
      <c r="F239" s="8" t="n"/>
      <c r="G239" s="8" t="n"/>
      <c r="H239" s="8" t="n"/>
      <c r="I239" s="8" t="n"/>
      <c r="J239" s="8" t="n"/>
      <c r="K239">
        <f>IF(B239="","",SUMIFS(Videos!$F:$F,Videos!$B:$B,B239,Videos!$E:$E,A239))</f>
        <v/>
      </c>
      <c r="L239" s="3">
        <f>IF(OR(K239="",K239=0),"",(D239+E239)/K239*1000)</f>
        <v/>
      </c>
      <c r="M239" s="10">
        <f>IF(OR(B239="",D239+E239=0),"",G239/(D239+E239))</f>
        <v/>
      </c>
      <c r="N239" s="3">
        <f>IF(OR(K239="",K239=0),"",G239/K239*10000)</f>
        <v/>
      </c>
    </row>
    <row r="240">
      <c r="A240" s="9" t="n"/>
      <c r="B240" s="8" t="n"/>
      <c r="C240">
        <f>IF(B240="","",IFERROR(VLOOKUP(B240,Accounts!$A:$D,4,FALSE),""))</f>
        <v/>
      </c>
      <c r="D240" s="8" t="n"/>
      <c r="E240" s="8" t="n"/>
      <c r="F240" s="8" t="n"/>
      <c r="G240" s="8" t="n"/>
      <c r="H240" s="8" t="n"/>
      <c r="I240" s="8" t="n"/>
      <c r="J240" s="8" t="n"/>
      <c r="K240">
        <f>IF(B240="","",SUMIFS(Videos!$F:$F,Videos!$B:$B,B240,Videos!$E:$E,A240))</f>
        <v/>
      </c>
      <c r="L240" s="3">
        <f>IF(OR(K240="",K240=0),"",(D240+E240)/K240*1000)</f>
        <v/>
      </c>
      <c r="M240" s="10">
        <f>IF(OR(B240="",D240+E240=0),"",G240/(D240+E240))</f>
        <v/>
      </c>
      <c r="N240" s="3">
        <f>IF(OR(K240="",K240=0),"",G240/K240*10000)</f>
        <v/>
      </c>
    </row>
    <row r="241">
      <c r="A241" s="9" t="n"/>
      <c r="B241" s="8" t="n"/>
      <c r="C241">
        <f>IF(B241="","",IFERROR(VLOOKUP(B241,Accounts!$A:$D,4,FALSE),""))</f>
        <v/>
      </c>
      <c r="D241" s="8" t="n"/>
      <c r="E241" s="8" t="n"/>
      <c r="F241" s="8" t="n"/>
      <c r="G241" s="8" t="n"/>
      <c r="H241" s="8" t="n"/>
      <c r="I241" s="8" t="n"/>
      <c r="J241" s="8" t="n"/>
      <c r="K241">
        <f>IF(B241="","",SUMIFS(Videos!$F:$F,Videos!$B:$B,B241,Videos!$E:$E,A241))</f>
        <v/>
      </c>
      <c r="L241" s="3">
        <f>IF(OR(K241="",K241=0),"",(D241+E241)/K241*1000)</f>
        <v/>
      </c>
      <c r="M241" s="10">
        <f>IF(OR(B241="",D241+E241=0),"",G241/(D241+E241))</f>
        <v/>
      </c>
      <c r="N241" s="3">
        <f>IF(OR(K241="",K241=0),"",G241/K241*10000)</f>
        <v/>
      </c>
    </row>
    <row r="242">
      <c r="A242" s="9" t="n"/>
      <c r="B242" s="8" t="n"/>
      <c r="C242">
        <f>IF(B242="","",IFERROR(VLOOKUP(B242,Accounts!$A:$D,4,FALSE),""))</f>
        <v/>
      </c>
      <c r="D242" s="8" t="n"/>
      <c r="E242" s="8" t="n"/>
      <c r="F242" s="8" t="n"/>
      <c r="G242" s="8" t="n"/>
      <c r="H242" s="8" t="n"/>
      <c r="I242" s="8" t="n"/>
      <c r="J242" s="8" t="n"/>
      <c r="K242">
        <f>IF(B242="","",SUMIFS(Videos!$F:$F,Videos!$B:$B,B242,Videos!$E:$E,A242))</f>
        <v/>
      </c>
      <c r="L242" s="3">
        <f>IF(OR(K242="",K242=0),"",(D242+E242)/K242*1000)</f>
        <v/>
      </c>
      <c r="M242" s="10">
        <f>IF(OR(B242="",D242+E242=0),"",G242/(D242+E242))</f>
        <v/>
      </c>
      <c r="N242" s="3">
        <f>IF(OR(K242="",K242=0),"",G242/K242*10000)</f>
        <v/>
      </c>
    </row>
    <row r="243">
      <c r="A243" s="9" t="n"/>
      <c r="B243" s="8" t="n"/>
      <c r="C243">
        <f>IF(B243="","",IFERROR(VLOOKUP(B243,Accounts!$A:$D,4,FALSE),""))</f>
        <v/>
      </c>
      <c r="D243" s="8" t="n"/>
      <c r="E243" s="8" t="n"/>
      <c r="F243" s="8" t="n"/>
      <c r="G243" s="8" t="n"/>
      <c r="H243" s="8" t="n"/>
      <c r="I243" s="8" t="n"/>
      <c r="J243" s="8" t="n"/>
      <c r="K243">
        <f>IF(B243="","",SUMIFS(Videos!$F:$F,Videos!$B:$B,B243,Videos!$E:$E,A243))</f>
        <v/>
      </c>
      <c r="L243" s="3">
        <f>IF(OR(K243="",K243=0),"",(D243+E243)/K243*1000)</f>
        <v/>
      </c>
      <c r="M243" s="10">
        <f>IF(OR(B243="",D243+E243=0),"",G243/(D243+E243))</f>
        <v/>
      </c>
      <c r="N243" s="3">
        <f>IF(OR(K243="",K243=0),"",G243/K243*10000)</f>
        <v/>
      </c>
    </row>
    <row r="244">
      <c r="A244" s="9" t="n"/>
      <c r="B244" s="8" t="n"/>
      <c r="C244">
        <f>IF(B244="","",IFERROR(VLOOKUP(B244,Accounts!$A:$D,4,FALSE),""))</f>
        <v/>
      </c>
      <c r="D244" s="8" t="n"/>
      <c r="E244" s="8" t="n"/>
      <c r="F244" s="8" t="n"/>
      <c r="G244" s="8" t="n"/>
      <c r="H244" s="8" t="n"/>
      <c r="I244" s="8" t="n"/>
      <c r="J244" s="8" t="n"/>
      <c r="K244">
        <f>IF(B244="","",SUMIFS(Videos!$F:$F,Videos!$B:$B,B244,Videos!$E:$E,A244))</f>
        <v/>
      </c>
      <c r="L244" s="3">
        <f>IF(OR(K244="",K244=0),"",(D244+E244)/K244*1000)</f>
        <v/>
      </c>
      <c r="M244" s="10">
        <f>IF(OR(B244="",D244+E244=0),"",G244/(D244+E244))</f>
        <v/>
      </c>
      <c r="N244" s="3">
        <f>IF(OR(K244="",K244=0),"",G244/K244*10000)</f>
        <v/>
      </c>
    </row>
    <row r="245">
      <c r="A245" s="9" t="n"/>
      <c r="B245" s="8" t="n"/>
      <c r="C245">
        <f>IF(B245="","",IFERROR(VLOOKUP(B245,Accounts!$A:$D,4,FALSE),""))</f>
        <v/>
      </c>
      <c r="D245" s="8" t="n"/>
      <c r="E245" s="8" t="n"/>
      <c r="F245" s="8" t="n"/>
      <c r="G245" s="8" t="n"/>
      <c r="H245" s="8" t="n"/>
      <c r="I245" s="8" t="n"/>
      <c r="J245" s="8" t="n"/>
      <c r="K245">
        <f>IF(B245="","",SUMIFS(Videos!$F:$F,Videos!$B:$B,B245,Videos!$E:$E,A245))</f>
        <v/>
      </c>
      <c r="L245" s="3">
        <f>IF(OR(K245="",K245=0),"",(D245+E245)/K245*1000)</f>
        <v/>
      </c>
      <c r="M245" s="10">
        <f>IF(OR(B245="",D245+E245=0),"",G245/(D245+E245))</f>
        <v/>
      </c>
      <c r="N245" s="3">
        <f>IF(OR(K245="",K245=0),"",G245/K245*10000)</f>
        <v/>
      </c>
    </row>
    <row r="246">
      <c r="A246" s="9" t="n"/>
      <c r="B246" s="8" t="n"/>
      <c r="C246">
        <f>IF(B246="","",IFERROR(VLOOKUP(B246,Accounts!$A:$D,4,FALSE),""))</f>
        <v/>
      </c>
      <c r="D246" s="8" t="n"/>
      <c r="E246" s="8" t="n"/>
      <c r="F246" s="8" t="n"/>
      <c r="G246" s="8" t="n"/>
      <c r="H246" s="8" t="n"/>
      <c r="I246" s="8" t="n"/>
      <c r="J246" s="8" t="n"/>
      <c r="K246">
        <f>IF(B246="","",SUMIFS(Videos!$F:$F,Videos!$B:$B,B246,Videos!$E:$E,A246))</f>
        <v/>
      </c>
      <c r="L246" s="3">
        <f>IF(OR(K246="",K246=0),"",(D246+E246)/K246*1000)</f>
        <v/>
      </c>
      <c r="M246" s="10">
        <f>IF(OR(B246="",D246+E246=0),"",G246/(D246+E246))</f>
        <v/>
      </c>
      <c r="N246" s="3">
        <f>IF(OR(K246="",K246=0),"",G246/K246*10000)</f>
        <v/>
      </c>
    </row>
    <row r="247">
      <c r="A247" s="9" t="n"/>
      <c r="B247" s="8" t="n"/>
      <c r="C247">
        <f>IF(B247="","",IFERROR(VLOOKUP(B247,Accounts!$A:$D,4,FALSE),""))</f>
        <v/>
      </c>
      <c r="D247" s="8" t="n"/>
      <c r="E247" s="8" t="n"/>
      <c r="F247" s="8" t="n"/>
      <c r="G247" s="8" t="n"/>
      <c r="H247" s="8" t="n"/>
      <c r="I247" s="8" t="n"/>
      <c r="J247" s="8" t="n"/>
      <c r="K247">
        <f>IF(B247="","",SUMIFS(Videos!$F:$F,Videos!$B:$B,B247,Videos!$E:$E,A247))</f>
        <v/>
      </c>
      <c r="L247" s="3">
        <f>IF(OR(K247="",K247=0),"",(D247+E247)/K247*1000)</f>
        <v/>
      </c>
      <c r="M247" s="10">
        <f>IF(OR(B247="",D247+E247=0),"",G247/(D247+E247))</f>
        <v/>
      </c>
      <c r="N247" s="3">
        <f>IF(OR(K247="",K247=0),"",G247/K247*10000)</f>
        <v/>
      </c>
    </row>
    <row r="248">
      <c r="A248" s="9" t="n"/>
      <c r="B248" s="8" t="n"/>
      <c r="C248">
        <f>IF(B248="","",IFERROR(VLOOKUP(B248,Accounts!$A:$D,4,FALSE),""))</f>
        <v/>
      </c>
      <c r="D248" s="8" t="n"/>
      <c r="E248" s="8" t="n"/>
      <c r="F248" s="8" t="n"/>
      <c r="G248" s="8" t="n"/>
      <c r="H248" s="8" t="n"/>
      <c r="I248" s="8" t="n"/>
      <c r="J248" s="8" t="n"/>
      <c r="K248">
        <f>IF(B248="","",SUMIFS(Videos!$F:$F,Videos!$B:$B,B248,Videos!$E:$E,A248))</f>
        <v/>
      </c>
      <c r="L248" s="3">
        <f>IF(OR(K248="",K248=0),"",(D248+E248)/K248*1000)</f>
        <v/>
      </c>
      <c r="M248" s="10">
        <f>IF(OR(B248="",D248+E248=0),"",G248/(D248+E248))</f>
        <v/>
      </c>
      <c r="N248" s="3">
        <f>IF(OR(K248="",K248=0),"",G248/K248*10000)</f>
        <v/>
      </c>
    </row>
    <row r="249">
      <c r="A249" s="9" t="n"/>
      <c r="B249" s="8" t="n"/>
      <c r="C249">
        <f>IF(B249="","",IFERROR(VLOOKUP(B249,Accounts!$A:$D,4,FALSE),""))</f>
        <v/>
      </c>
      <c r="D249" s="8" t="n"/>
      <c r="E249" s="8" t="n"/>
      <c r="F249" s="8" t="n"/>
      <c r="G249" s="8" t="n"/>
      <c r="H249" s="8" t="n"/>
      <c r="I249" s="8" t="n"/>
      <c r="J249" s="8" t="n"/>
      <c r="K249">
        <f>IF(B249="","",SUMIFS(Videos!$F:$F,Videos!$B:$B,B249,Videos!$E:$E,A249))</f>
        <v/>
      </c>
      <c r="L249" s="3">
        <f>IF(OR(K249="",K249=0),"",(D249+E249)/K249*1000)</f>
        <v/>
      </c>
      <c r="M249" s="10">
        <f>IF(OR(B249="",D249+E249=0),"",G249/(D249+E249))</f>
        <v/>
      </c>
      <c r="N249" s="3">
        <f>IF(OR(K249="",K249=0),"",G249/K249*10000)</f>
        <v/>
      </c>
    </row>
    <row r="250">
      <c r="A250" s="9" t="n"/>
      <c r="B250" s="8" t="n"/>
      <c r="C250">
        <f>IF(B250="","",IFERROR(VLOOKUP(B250,Accounts!$A:$D,4,FALSE),""))</f>
        <v/>
      </c>
      <c r="D250" s="8" t="n"/>
      <c r="E250" s="8" t="n"/>
      <c r="F250" s="8" t="n"/>
      <c r="G250" s="8" t="n"/>
      <c r="H250" s="8" t="n"/>
      <c r="I250" s="8" t="n"/>
      <c r="J250" s="8" t="n"/>
      <c r="K250">
        <f>IF(B250="","",SUMIFS(Videos!$F:$F,Videos!$B:$B,B250,Videos!$E:$E,A250))</f>
        <v/>
      </c>
      <c r="L250" s="3">
        <f>IF(OR(K250="",K250=0),"",(D250+E250)/K250*1000)</f>
        <v/>
      </c>
      <c r="M250" s="10">
        <f>IF(OR(B250="",D250+E250=0),"",G250/(D250+E250))</f>
        <v/>
      </c>
      <c r="N250" s="3">
        <f>IF(OR(K250="",K250=0),"",G250/K250*10000)</f>
        <v/>
      </c>
    </row>
    <row r="251">
      <c r="A251" s="9" t="n"/>
      <c r="B251" s="8" t="n"/>
      <c r="C251">
        <f>IF(B251="","",IFERROR(VLOOKUP(B251,Accounts!$A:$D,4,FALSE),""))</f>
        <v/>
      </c>
      <c r="D251" s="8" t="n"/>
      <c r="E251" s="8" t="n"/>
      <c r="F251" s="8" t="n"/>
      <c r="G251" s="8" t="n"/>
      <c r="H251" s="8" t="n"/>
      <c r="I251" s="8" t="n"/>
      <c r="J251" s="8" t="n"/>
      <c r="K251">
        <f>IF(B251="","",SUMIFS(Videos!$F:$F,Videos!$B:$B,B251,Videos!$E:$E,A251))</f>
        <v/>
      </c>
      <c r="L251" s="3">
        <f>IF(OR(K251="",K251=0),"",(D251+E251)/K251*1000)</f>
        <v/>
      </c>
      <c r="M251" s="10">
        <f>IF(OR(B251="",D251+E251=0),"",G251/(D251+E251))</f>
        <v/>
      </c>
      <c r="N251" s="3">
        <f>IF(OR(K251="",K251=0),"",G251/K251*10000)</f>
        <v/>
      </c>
    </row>
    <row r="252">
      <c r="A252" s="9" t="n"/>
      <c r="B252" s="8" t="n"/>
      <c r="C252">
        <f>IF(B252="","",IFERROR(VLOOKUP(B252,Accounts!$A:$D,4,FALSE),""))</f>
        <v/>
      </c>
      <c r="D252" s="8" t="n"/>
      <c r="E252" s="8" t="n"/>
      <c r="F252" s="8" t="n"/>
      <c r="G252" s="8" t="n"/>
      <c r="H252" s="8" t="n"/>
      <c r="I252" s="8" t="n"/>
      <c r="J252" s="8" t="n"/>
      <c r="K252">
        <f>IF(B252="","",SUMIFS(Videos!$F:$F,Videos!$B:$B,B252,Videos!$E:$E,A252))</f>
        <v/>
      </c>
      <c r="L252" s="3">
        <f>IF(OR(K252="",K252=0),"",(D252+E252)/K252*1000)</f>
        <v/>
      </c>
      <c r="M252" s="10">
        <f>IF(OR(B252="",D252+E252=0),"",G252/(D252+E252))</f>
        <v/>
      </c>
      <c r="N252" s="3">
        <f>IF(OR(K252="",K252=0),"",G252/K252*10000)</f>
        <v/>
      </c>
    </row>
    <row r="253">
      <c r="A253" s="9" t="n"/>
      <c r="B253" s="8" t="n"/>
      <c r="C253">
        <f>IF(B253="","",IFERROR(VLOOKUP(B253,Accounts!$A:$D,4,FALSE),""))</f>
        <v/>
      </c>
      <c r="D253" s="8" t="n"/>
      <c r="E253" s="8" t="n"/>
      <c r="F253" s="8" t="n"/>
      <c r="G253" s="8" t="n"/>
      <c r="H253" s="8" t="n"/>
      <c r="I253" s="8" t="n"/>
      <c r="J253" s="8" t="n"/>
      <c r="K253">
        <f>IF(B253="","",SUMIFS(Videos!$F:$F,Videos!$B:$B,B253,Videos!$E:$E,A253))</f>
        <v/>
      </c>
      <c r="L253" s="3">
        <f>IF(OR(K253="",K253=0),"",(D253+E253)/K253*1000)</f>
        <v/>
      </c>
      <c r="M253" s="10">
        <f>IF(OR(B253="",D253+E253=0),"",G253/(D253+E253))</f>
        <v/>
      </c>
      <c r="N253" s="3">
        <f>IF(OR(K253="",K253=0),"",G253/K253*10000)</f>
        <v/>
      </c>
    </row>
    <row r="254">
      <c r="A254" s="9" t="n"/>
      <c r="B254" s="8" t="n"/>
      <c r="C254">
        <f>IF(B254="","",IFERROR(VLOOKUP(B254,Accounts!$A:$D,4,FALSE),""))</f>
        <v/>
      </c>
      <c r="D254" s="8" t="n"/>
      <c r="E254" s="8" t="n"/>
      <c r="F254" s="8" t="n"/>
      <c r="G254" s="8" t="n"/>
      <c r="H254" s="8" t="n"/>
      <c r="I254" s="8" t="n"/>
      <c r="J254" s="8" t="n"/>
      <c r="K254">
        <f>IF(B254="","",SUMIFS(Videos!$F:$F,Videos!$B:$B,B254,Videos!$E:$E,A254))</f>
        <v/>
      </c>
      <c r="L254" s="3">
        <f>IF(OR(K254="",K254=0),"",(D254+E254)/K254*1000)</f>
        <v/>
      </c>
      <c r="M254" s="10">
        <f>IF(OR(B254="",D254+E254=0),"",G254/(D254+E254))</f>
        <v/>
      </c>
      <c r="N254" s="3">
        <f>IF(OR(K254="",K254=0),"",G254/K254*10000)</f>
        <v/>
      </c>
    </row>
    <row r="255">
      <c r="A255" s="9" t="n"/>
      <c r="B255" s="8" t="n"/>
      <c r="C255">
        <f>IF(B255="","",IFERROR(VLOOKUP(B255,Accounts!$A:$D,4,FALSE),""))</f>
        <v/>
      </c>
      <c r="D255" s="8" t="n"/>
      <c r="E255" s="8" t="n"/>
      <c r="F255" s="8" t="n"/>
      <c r="G255" s="8" t="n"/>
      <c r="H255" s="8" t="n"/>
      <c r="I255" s="8" t="n"/>
      <c r="J255" s="8" t="n"/>
      <c r="K255">
        <f>IF(B255="","",SUMIFS(Videos!$F:$F,Videos!$B:$B,B255,Videos!$E:$E,A255))</f>
        <v/>
      </c>
      <c r="L255" s="3">
        <f>IF(OR(K255="",K255=0),"",(D255+E255)/K255*1000)</f>
        <v/>
      </c>
      <c r="M255" s="10">
        <f>IF(OR(B255="",D255+E255=0),"",G255/(D255+E255))</f>
        <v/>
      </c>
      <c r="N255" s="3">
        <f>IF(OR(K255="",K255=0),"",G255/K255*10000)</f>
        <v/>
      </c>
    </row>
    <row r="256">
      <c r="A256" s="9" t="n"/>
      <c r="B256" s="8" t="n"/>
      <c r="C256">
        <f>IF(B256="","",IFERROR(VLOOKUP(B256,Accounts!$A:$D,4,FALSE),""))</f>
        <v/>
      </c>
      <c r="D256" s="8" t="n"/>
      <c r="E256" s="8" t="n"/>
      <c r="F256" s="8" t="n"/>
      <c r="G256" s="8" t="n"/>
      <c r="H256" s="8" t="n"/>
      <c r="I256" s="8" t="n"/>
      <c r="J256" s="8" t="n"/>
      <c r="K256">
        <f>IF(B256="","",SUMIFS(Videos!$F:$F,Videos!$B:$B,B256,Videos!$E:$E,A256))</f>
        <v/>
      </c>
      <c r="L256" s="3">
        <f>IF(OR(K256="",K256=0),"",(D256+E256)/K256*1000)</f>
        <v/>
      </c>
      <c r="M256" s="10">
        <f>IF(OR(B256="",D256+E256=0),"",G256/(D256+E256))</f>
        <v/>
      </c>
      <c r="N256" s="3">
        <f>IF(OR(K256="",K256=0),"",G256/K256*10000)</f>
        <v/>
      </c>
    </row>
    <row r="257">
      <c r="A257" s="9" t="n"/>
      <c r="B257" s="8" t="n"/>
      <c r="C257">
        <f>IF(B257="","",IFERROR(VLOOKUP(B257,Accounts!$A:$D,4,FALSE),""))</f>
        <v/>
      </c>
      <c r="D257" s="8" t="n"/>
      <c r="E257" s="8" t="n"/>
      <c r="F257" s="8" t="n"/>
      <c r="G257" s="8" t="n"/>
      <c r="H257" s="8" t="n"/>
      <c r="I257" s="8" t="n"/>
      <c r="J257" s="8" t="n"/>
      <c r="K257">
        <f>IF(B257="","",SUMIFS(Videos!$F:$F,Videos!$B:$B,B257,Videos!$E:$E,A257))</f>
        <v/>
      </c>
      <c r="L257" s="3">
        <f>IF(OR(K257="",K257=0),"",(D257+E257)/K257*1000)</f>
        <v/>
      </c>
      <c r="M257" s="10">
        <f>IF(OR(B257="",D257+E257=0),"",G257/(D257+E257))</f>
        <v/>
      </c>
      <c r="N257" s="3">
        <f>IF(OR(K257="",K257=0),"",G257/K257*10000)</f>
        <v/>
      </c>
    </row>
    <row r="258">
      <c r="A258" s="9" t="n"/>
      <c r="B258" s="8" t="n"/>
      <c r="C258">
        <f>IF(B258="","",IFERROR(VLOOKUP(B258,Accounts!$A:$D,4,FALSE),""))</f>
        <v/>
      </c>
      <c r="D258" s="8" t="n"/>
      <c r="E258" s="8" t="n"/>
      <c r="F258" s="8" t="n"/>
      <c r="G258" s="8" t="n"/>
      <c r="H258" s="8" t="n"/>
      <c r="I258" s="8" t="n"/>
      <c r="J258" s="8" t="n"/>
      <c r="K258">
        <f>IF(B258="","",SUMIFS(Videos!$F:$F,Videos!$B:$B,B258,Videos!$E:$E,A258))</f>
        <v/>
      </c>
      <c r="L258" s="3">
        <f>IF(OR(K258="",K258=0),"",(D258+E258)/K258*1000)</f>
        <v/>
      </c>
      <c r="M258" s="10">
        <f>IF(OR(B258="",D258+E258=0),"",G258/(D258+E258))</f>
        <v/>
      </c>
      <c r="N258" s="3">
        <f>IF(OR(K258="",K258=0),"",G258/K258*10000)</f>
        <v/>
      </c>
    </row>
    <row r="259">
      <c r="A259" s="9" t="n"/>
      <c r="B259" s="8" t="n"/>
      <c r="C259">
        <f>IF(B259="","",IFERROR(VLOOKUP(B259,Accounts!$A:$D,4,FALSE),""))</f>
        <v/>
      </c>
      <c r="D259" s="8" t="n"/>
      <c r="E259" s="8" t="n"/>
      <c r="F259" s="8" t="n"/>
      <c r="G259" s="8" t="n"/>
      <c r="H259" s="8" t="n"/>
      <c r="I259" s="8" t="n"/>
      <c r="J259" s="8" t="n"/>
      <c r="K259">
        <f>IF(B259="","",SUMIFS(Videos!$F:$F,Videos!$B:$B,B259,Videos!$E:$E,A259))</f>
        <v/>
      </c>
      <c r="L259" s="3">
        <f>IF(OR(K259="",K259=0),"",(D259+E259)/K259*1000)</f>
        <v/>
      </c>
      <c r="M259" s="10">
        <f>IF(OR(B259="",D259+E259=0),"",G259/(D259+E259))</f>
        <v/>
      </c>
      <c r="N259" s="3">
        <f>IF(OR(K259="",K259=0),"",G259/K259*10000)</f>
        <v/>
      </c>
    </row>
    <row r="260">
      <c r="A260" s="9" t="n"/>
      <c r="B260" s="8" t="n"/>
      <c r="C260">
        <f>IF(B260="","",IFERROR(VLOOKUP(B260,Accounts!$A:$D,4,FALSE),""))</f>
        <v/>
      </c>
      <c r="D260" s="8" t="n"/>
      <c r="E260" s="8" t="n"/>
      <c r="F260" s="8" t="n"/>
      <c r="G260" s="8" t="n"/>
      <c r="H260" s="8" t="n"/>
      <c r="I260" s="8" t="n"/>
      <c r="J260" s="8" t="n"/>
      <c r="K260">
        <f>IF(B260="","",SUMIFS(Videos!$F:$F,Videos!$B:$B,B260,Videos!$E:$E,A260))</f>
        <v/>
      </c>
      <c r="L260" s="3">
        <f>IF(OR(K260="",K260=0),"",(D260+E260)/K260*1000)</f>
        <v/>
      </c>
      <c r="M260" s="10">
        <f>IF(OR(B260="",D260+E260=0),"",G260/(D260+E260))</f>
        <v/>
      </c>
      <c r="N260" s="3">
        <f>IF(OR(K260="",K260=0),"",G260/K260*10000)</f>
        <v/>
      </c>
    </row>
    <row r="261">
      <c r="A261" s="9" t="n"/>
      <c r="B261" s="8" t="n"/>
      <c r="C261">
        <f>IF(B261="","",IFERROR(VLOOKUP(B261,Accounts!$A:$D,4,FALSE),""))</f>
        <v/>
      </c>
      <c r="D261" s="8" t="n"/>
      <c r="E261" s="8" t="n"/>
      <c r="F261" s="8" t="n"/>
      <c r="G261" s="8" t="n"/>
      <c r="H261" s="8" t="n"/>
      <c r="I261" s="8" t="n"/>
      <c r="J261" s="8" t="n"/>
      <c r="K261">
        <f>IF(B261="","",SUMIFS(Videos!$F:$F,Videos!$B:$B,B261,Videos!$E:$E,A261))</f>
        <v/>
      </c>
      <c r="L261" s="3">
        <f>IF(OR(K261="",K261=0),"",(D261+E261)/K261*1000)</f>
        <v/>
      </c>
      <c r="M261" s="10">
        <f>IF(OR(B261="",D261+E261=0),"",G261/(D261+E261))</f>
        <v/>
      </c>
      <c r="N261" s="3">
        <f>IF(OR(K261="",K261=0),"",G261/K261*10000)</f>
        <v/>
      </c>
    </row>
    <row r="262">
      <c r="A262" s="9" t="n"/>
      <c r="B262" s="8" t="n"/>
      <c r="C262">
        <f>IF(B262="","",IFERROR(VLOOKUP(B262,Accounts!$A:$D,4,FALSE),""))</f>
        <v/>
      </c>
      <c r="D262" s="8" t="n"/>
      <c r="E262" s="8" t="n"/>
      <c r="F262" s="8" t="n"/>
      <c r="G262" s="8" t="n"/>
      <c r="H262" s="8" t="n"/>
      <c r="I262" s="8" t="n"/>
      <c r="J262" s="8" t="n"/>
      <c r="K262">
        <f>IF(B262="","",SUMIFS(Videos!$F:$F,Videos!$B:$B,B262,Videos!$E:$E,A262))</f>
        <v/>
      </c>
      <c r="L262" s="3">
        <f>IF(OR(K262="",K262=0),"",(D262+E262)/K262*1000)</f>
        <v/>
      </c>
      <c r="M262" s="10">
        <f>IF(OR(B262="",D262+E262=0),"",G262/(D262+E262))</f>
        <v/>
      </c>
      <c r="N262" s="3">
        <f>IF(OR(K262="",K262=0),"",G262/K262*10000)</f>
        <v/>
      </c>
    </row>
    <row r="263">
      <c r="A263" s="9" t="n"/>
      <c r="B263" s="8" t="n"/>
      <c r="C263">
        <f>IF(B263="","",IFERROR(VLOOKUP(B263,Accounts!$A:$D,4,FALSE),""))</f>
        <v/>
      </c>
      <c r="D263" s="8" t="n"/>
      <c r="E263" s="8" t="n"/>
      <c r="F263" s="8" t="n"/>
      <c r="G263" s="8" t="n"/>
      <c r="H263" s="8" t="n"/>
      <c r="I263" s="8" t="n"/>
      <c r="J263" s="8" t="n"/>
      <c r="K263">
        <f>IF(B263="","",SUMIFS(Videos!$F:$F,Videos!$B:$B,B263,Videos!$E:$E,A263))</f>
        <v/>
      </c>
      <c r="L263" s="3">
        <f>IF(OR(K263="",K263=0),"",(D263+E263)/K263*1000)</f>
        <v/>
      </c>
      <c r="M263" s="10">
        <f>IF(OR(B263="",D263+E263=0),"",G263/(D263+E263))</f>
        <v/>
      </c>
      <c r="N263" s="3">
        <f>IF(OR(K263="",K263=0),"",G263/K263*10000)</f>
        <v/>
      </c>
    </row>
    <row r="264">
      <c r="A264" s="9" t="n"/>
      <c r="B264" s="8" t="n"/>
      <c r="C264">
        <f>IF(B264="","",IFERROR(VLOOKUP(B264,Accounts!$A:$D,4,FALSE),""))</f>
        <v/>
      </c>
      <c r="D264" s="8" t="n"/>
      <c r="E264" s="8" t="n"/>
      <c r="F264" s="8" t="n"/>
      <c r="G264" s="8" t="n"/>
      <c r="H264" s="8" t="n"/>
      <c r="I264" s="8" t="n"/>
      <c r="J264" s="8" t="n"/>
      <c r="K264">
        <f>IF(B264="","",SUMIFS(Videos!$F:$F,Videos!$B:$B,B264,Videos!$E:$E,A264))</f>
        <v/>
      </c>
      <c r="L264" s="3">
        <f>IF(OR(K264="",K264=0),"",(D264+E264)/K264*1000)</f>
        <v/>
      </c>
      <c r="M264" s="10">
        <f>IF(OR(B264="",D264+E264=0),"",G264/(D264+E264))</f>
        <v/>
      </c>
      <c r="N264" s="3">
        <f>IF(OR(K264="",K264=0),"",G264/K264*10000)</f>
        <v/>
      </c>
    </row>
    <row r="265">
      <c r="A265" s="9" t="n"/>
      <c r="B265" s="8" t="n"/>
      <c r="C265">
        <f>IF(B265="","",IFERROR(VLOOKUP(B265,Accounts!$A:$D,4,FALSE),""))</f>
        <v/>
      </c>
      <c r="D265" s="8" t="n"/>
      <c r="E265" s="8" t="n"/>
      <c r="F265" s="8" t="n"/>
      <c r="G265" s="8" t="n"/>
      <c r="H265" s="8" t="n"/>
      <c r="I265" s="8" t="n"/>
      <c r="J265" s="8" t="n"/>
      <c r="K265">
        <f>IF(B265="","",SUMIFS(Videos!$F:$F,Videos!$B:$B,B265,Videos!$E:$E,A265))</f>
        <v/>
      </c>
      <c r="L265" s="3">
        <f>IF(OR(K265="",K265=0),"",(D265+E265)/K265*1000)</f>
        <v/>
      </c>
      <c r="M265" s="10">
        <f>IF(OR(B265="",D265+E265=0),"",G265/(D265+E265))</f>
        <v/>
      </c>
      <c r="N265" s="3">
        <f>IF(OR(K265="",K265=0),"",G265/K265*10000)</f>
        <v/>
      </c>
    </row>
    <row r="266">
      <c r="A266" s="9" t="n"/>
      <c r="B266" s="8" t="n"/>
      <c r="C266">
        <f>IF(B266="","",IFERROR(VLOOKUP(B266,Accounts!$A:$D,4,FALSE),""))</f>
        <v/>
      </c>
      <c r="D266" s="8" t="n"/>
      <c r="E266" s="8" t="n"/>
      <c r="F266" s="8" t="n"/>
      <c r="G266" s="8" t="n"/>
      <c r="H266" s="8" t="n"/>
      <c r="I266" s="8" t="n"/>
      <c r="J266" s="8" t="n"/>
      <c r="K266">
        <f>IF(B266="","",SUMIFS(Videos!$F:$F,Videos!$B:$B,B266,Videos!$E:$E,A266))</f>
        <v/>
      </c>
      <c r="L266" s="3">
        <f>IF(OR(K266="",K266=0),"",(D266+E266)/K266*1000)</f>
        <v/>
      </c>
      <c r="M266" s="10">
        <f>IF(OR(B266="",D266+E266=0),"",G266/(D266+E266))</f>
        <v/>
      </c>
      <c r="N266" s="3">
        <f>IF(OR(K266="",K266=0),"",G266/K266*10000)</f>
        <v/>
      </c>
    </row>
    <row r="267">
      <c r="A267" s="9" t="n"/>
      <c r="B267" s="8" t="n"/>
      <c r="C267">
        <f>IF(B267="","",IFERROR(VLOOKUP(B267,Accounts!$A:$D,4,FALSE),""))</f>
        <v/>
      </c>
      <c r="D267" s="8" t="n"/>
      <c r="E267" s="8" t="n"/>
      <c r="F267" s="8" t="n"/>
      <c r="G267" s="8" t="n"/>
      <c r="H267" s="8" t="n"/>
      <c r="I267" s="8" t="n"/>
      <c r="J267" s="8" t="n"/>
      <c r="K267">
        <f>IF(B267="","",SUMIFS(Videos!$F:$F,Videos!$B:$B,B267,Videos!$E:$E,A267))</f>
        <v/>
      </c>
      <c r="L267" s="3">
        <f>IF(OR(K267="",K267=0),"",(D267+E267)/K267*1000)</f>
        <v/>
      </c>
      <c r="M267" s="10">
        <f>IF(OR(B267="",D267+E267=0),"",G267/(D267+E267))</f>
        <v/>
      </c>
      <c r="N267" s="3">
        <f>IF(OR(K267="",K267=0),"",G267/K267*10000)</f>
        <v/>
      </c>
    </row>
    <row r="268">
      <c r="A268" s="9" t="n"/>
      <c r="B268" s="8" t="n"/>
      <c r="C268">
        <f>IF(B268="","",IFERROR(VLOOKUP(B268,Accounts!$A:$D,4,FALSE),""))</f>
        <v/>
      </c>
      <c r="D268" s="8" t="n"/>
      <c r="E268" s="8" t="n"/>
      <c r="F268" s="8" t="n"/>
      <c r="G268" s="8" t="n"/>
      <c r="H268" s="8" t="n"/>
      <c r="I268" s="8" t="n"/>
      <c r="J268" s="8" t="n"/>
      <c r="K268">
        <f>IF(B268="","",SUMIFS(Videos!$F:$F,Videos!$B:$B,B268,Videos!$E:$E,A268))</f>
        <v/>
      </c>
      <c r="L268" s="3">
        <f>IF(OR(K268="",K268=0),"",(D268+E268)/K268*1000)</f>
        <v/>
      </c>
      <c r="M268" s="10">
        <f>IF(OR(B268="",D268+E268=0),"",G268/(D268+E268))</f>
        <v/>
      </c>
      <c r="N268" s="3">
        <f>IF(OR(K268="",K268=0),"",G268/K268*10000)</f>
        <v/>
      </c>
    </row>
    <row r="269">
      <c r="A269" s="9" t="n"/>
      <c r="B269" s="8" t="n"/>
      <c r="C269">
        <f>IF(B269="","",IFERROR(VLOOKUP(B269,Accounts!$A:$D,4,FALSE),""))</f>
        <v/>
      </c>
      <c r="D269" s="8" t="n"/>
      <c r="E269" s="8" t="n"/>
      <c r="F269" s="8" t="n"/>
      <c r="G269" s="8" t="n"/>
      <c r="H269" s="8" t="n"/>
      <c r="I269" s="8" t="n"/>
      <c r="J269" s="8" t="n"/>
      <c r="K269">
        <f>IF(B269="","",SUMIFS(Videos!$F:$F,Videos!$B:$B,B269,Videos!$E:$E,A269))</f>
        <v/>
      </c>
      <c r="L269" s="3">
        <f>IF(OR(K269="",K269=0),"",(D269+E269)/K269*1000)</f>
        <v/>
      </c>
      <c r="M269" s="10">
        <f>IF(OR(B269="",D269+E269=0),"",G269/(D269+E269))</f>
        <v/>
      </c>
      <c r="N269" s="3">
        <f>IF(OR(K269="",K269=0),"",G269/K269*10000)</f>
        <v/>
      </c>
    </row>
    <row r="270">
      <c r="A270" s="9" t="n"/>
      <c r="B270" s="8" t="n"/>
      <c r="C270">
        <f>IF(B270="","",IFERROR(VLOOKUP(B270,Accounts!$A:$D,4,FALSE),""))</f>
        <v/>
      </c>
      <c r="D270" s="8" t="n"/>
      <c r="E270" s="8" t="n"/>
      <c r="F270" s="8" t="n"/>
      <c r="G270" s="8" t="n"/>
      <c r="H270" s="8" t="n"/>
      <c r="I270" s="8" t="n"/>
      <c r="J270" s="8" t="n"/>
      <c r="K270">
        <f>IF(B270="","",SUMIFS(Videos!$F:$F,Videos!$B:$B,B270,Videos!$E:$E,A270))</f>
        <v/>
      </c>
      <c r="L270" s="3">
        <f>IF(OR(K270="",K270=0),"",(D270+E270)/K270*1000)</f>
        <v/>
      </c>
      <c r="M270" s="10">
        <f>IF(OR(B270="",D270+E270=0),"",G270/(D270+E270))</f>
        <v/>
      </c>
      <c r="N270" s="3">
        <f>IF(OR(K270="",K270=0),"",G270/K270*10000)</f>
        <v/>
      </c>
    </row>
    <row r="271">
      <c r="A271" s="9" t="n"/>
      <c r="B271" s="8" t="n"/>
      <c r="C271">
        <f>IF(B271="","",IFERROR(VLOOKUP(B271,Accounts!$A:$D,4,FALSE),""))</f>
        <v/>
      </c>
      <c r="D271" s="8" t="n"/>
      <c r="E271" s="8" t="n"/>
      <c r="F271" s="8" t="n"/>
      <c r="G271" s="8" t="n"/>
      <c r="H271" s="8" t="n"/>
      <c r="I271" s="8" t="n"/>
      <c r="J271" s="8" t="n"/>
      <c r="K271">
        <f>IF(B271="","",SUMIFS(Videos!$F:$F,Videos!$B:$B,B271,Videos!$E:$E,A271))</f>
        <v/>
      </c>
      <c r="L271" s="3">
        <f>IF(OR(K271="",K271=0),"",(D271+E271)/K271*1000)</f>
        <v/>
      </c>
      <c r="M271" s="10">
        <f>IF(OR(B271="",D271+E271=0),"",G271/(D271+E271))</f>
        <v/>
      </c>
      <c r="N271" s="3">
        <f>IF(OR(K271="",K271=0),"",G271/K271*10000)</f>
        <v/>
      </c>
    </row>
    <row r="272">
      <c r="A272" s="9" t="n"/>
      <c r="B272" s="8" t="n"/>
      <c r="C272">
        <f>IF(B272="","",IFERROR(VLOOKUP(B272,Accounts!$A:$D,4,FALSE),""))</f>
        <v/>
      </c>
      <c r="D272" s="8" t="n"/>
      <c r="E272" s="8" t="n"/>
      <c r="F272" s="8" t="n"/>
      <c r="G272" s="8" t="n"/>
      <c r="H272" s="8" t="n"/>
      <c r="I272" s="8" t="n"/>
      <c r="J272" s="8" t="n"/>
      <c r="K272">
        <f>IF(B272="","",SUMIFS(Videos!$F:$F,Videos!$B:$B,B272,Videos!$E:$E,A272))</f>
        <v/>
      </c>
      <c r="L272" s="3">
        <f>IF(OR(K272="",K272=0),"",(D272+E272)/K272*1000)</f>
        <v/>
      </c>
      <c r="M272" s="10">
        <f>IF(OR(B272="",D272+E272=0),"",G272/(D272+E272))</f>
        <v/>
      </c>
      <c r="N272" s="3">
        <f>IF(OR(K272="",K272=0),"",G272/K272*10000)</f>
        <v/>
      </c>
    </row>
    <row r="273">
      <c r="A273" s="9" t="n"/>
      <c r="B273" s="8" t="n"/>
      <c r="C273">
        <f>IF(B273="","",IFERROR(VLOOKUP(B273,Accounts!$A:$D,4,FALSE),""))</f>
        <v/>
      </c>
      <c r="D273" s="8" t="n"/>
      <c r="E273" s="8" t="n"/>
      <c r="F273" s="8" t="n"/>
      <c r="G273" s="8" t="n"/>
      <c r="H273" s="8" t="n"/>
      <c r="I273" s="8" t="n"/>
      <c r="J273" s="8" t="n"/>
      <c r="K273">
        <f>IF(B273="","",SUMIFS(Videos!$F:$F,Videos!$B:$B,B273,Videos!$E:$E,A273))</f>
        <v/>
      </c>
      <c r="L273" s="3">
        <f>IF(OR(K273="",K273=0),"",(D273+E273)/K273*1000)</f>
        <v/>
      </c>
      <c r="M273" s="10">
        <f>IF(OR(B273="",D273+E273=0),"",G273/(D273+E273))</f>
        <v/>
      </c>
      <c r="N273" s="3">
        <f>IF(OR(K273="",K273=0),"",G273/K273*10000)</f>
        <v/>
      </c>
    </row>
    <row r="274">
      <c r="A274" s="9" t="n"/>
      <c r="B274" s="8" t="n"/>
      <c r="C274">
        <f>IF(B274="","",IFERROR(VLOOKUP(B274,Accounts!$A:$D,4,FALSE),""))</f>
        <v/>
      </c>
      <c r="D274" s="8" t="n"/>
      <c r="E274" s="8" t="n"/>
      <c r="F274" s="8" t="n"/>
      <c r="G274" s="8" t="n"/>
      <c r="H274" s="8" t="n"/>
      <c r="I274" s="8" t="n"/>
      <c r="J274" s="8" t="n"/>
      <c r="K274">
        <f>IF(B274="","",SUMIFS(Videos!$F:$F,Videos!$B:$B,B274,Videos!$E:$E,A274))</f>
        <v/>
      </c>
      <c r="L274" s="3">
        <f>IF(OR(K274="",K274=0),"",(D274+E274)/K274*1000)</f>
        <v/>
      </c>
      <c r="M274" s="10">
        <f>IF(OR(B274="",D274+E274=0),"",G274/(D274+E274))</f>
        <v/>
      </c>
      <c r="N274" s="3">
        <f>IF(OR(K274="",K274=0),"",G274/K274*10000)</f>
        <v/>
      </c>
    </row>
    <row r="275">
      <c r="A275" s="9" t="n"/>
      <c r="B275" s="8" t="n"/>
      <c r="C275">
        <f>IF(B275="","",IFERROR(VLOOKUP(B275,Accounts!$A:$D,4,FALSE),""))</f>
        <v/>
      </c>
      <c r="D275" s="8" t="n"/>
      <c r="E275" s="8" t="n"/>
      <c r="F275" s="8" t="n"/>
      <c r="G275" s="8" t="n"/>
      <c r="H275" s="8" t="n"/>
      <c r="I275" s="8" t="n"/>
      <c r="J275" s="8" t="n"/>
      <c r="K275">
        <f>IF(B275="","",SUMIFS(Videos!$F:$F,Videos!$B:$B,B275,Videos!$E:$E,A275))</f>
        <v/>
      </c>
      <c r="L275" s="3">
        <f>IF(OR(K275="",K275=0),"",(D275+E275)/K275*1000)</f>
        <v/>
      </c>
      <c r="M275" s="10">
        <f>IF(OR(B275="",D275+E275=0),"",G275/(D275+E275))</f>
        <v/>
      </c>
      <c r="N275" s="3">
        <f>IF(OR(K275="",K275=0),"",G275/K275*10000)</f>
        <v/>
      </c>
    </row>
    <row r="276">
      <c r="A276" s="9" t="n"/>
      <c r="B276" s="8" t="n"/>
      <c r="C276">
        <f>IF(B276="","",IFERROR(VLOOKUP(B276,Accounts!$A:$D,4,FALSE),""))</f>
        <v/>
      </c>
      <c r="D276" s="8" t="n"/>
      <c r="E276" s="8" t="n"/>
      <c r="F276" s="8" t="n"/>
      <c r="G276" s="8" t="n"/>
      <c r="H276" s="8" t="n"/>
      <c r="I276" s="8" t="n"/>
      <c r="J276" s="8" t="n"/>
      <c r="K276">
        <f>IF(B276="","",SUMIFS(Videos!$F:$F,Videos!$B:$B,B276,Videos!$E:$E,A276))</f>
        <v/>
      </c>
      <c r="L276" s="3">
        <f>IF(OR(K276="",K276=0),"",(D276+E276)/K276*1000)</f>
        <v/>
      </c>
      <c r="M276" s="10">
        <f>IF(OR(B276="",D276+E276=0),"",G276/(D276+E276))</f>
        <v/>
      </c>
      <c r="N276" s="3">
        <f>IF(OR(K276="",K276=0),"",G276/K276*10000)</f>
        <v/>
      </c>
    </row>
    <row r="277">
      <c r="A277" s="9" t="n"/>
      <c r="B277" s="8" t="n"/>
      <c r="C277">
        <f>IF(B277="","",IFERROR(VLOOKUP(B277,Accounts!$A:$D,4,FALSE),""))</f>
        <v/>
      </c>
      <c r="D277" s="8" t="n"/>
      <c r="E277" s="8" t="n"/>
      <c r="F277" s="8" t="n"/>
      <c r="G277" s="8" t="n"/>
      <c r="H277" s="8" t="n"/>
      <c r="I277" s="8" t="n"/>
      <c r="J277" s="8" t="n"/>
      <c r="K277">
        <f>IF(B277="","",SUMIFS(Videos!$F:$F,Videos!$B:$B,B277,Videos!$E:$E,A277))</f>
        <v/>
      </c>
      <c r="L277" s="3">
        <f>IF(OR(K277="",K277=0),"",(D277+E277)/K277*1000)</f>
        <v/>
      </c>
      <c r="M277" s="10">
        <f>IF(OR(B277="",D277+E277=0),"",G277/(D277+E277))</f>
        <v/>
      </c>
      <c r="N277" s="3">
        <f>IF(OR(K277="",K277=0),"",G277/K277*10000)</f>
        <v/>
      </c>
    </row>
    <row r="278">
      <c r="A278" s="9" t="n"/>
      <c r="B278" s="8" t="n"/>
      <c r="C278">
        <f>IF(B278="","",IFERROR(VLOOKUP(B278,Accounts!$A:$D,4,FALSE),""))</f>
        <v/>
      </c>
      <c r="D278" s="8" t="n"/>
      <c r="E278" s="8" t="n"/>
      <c r="F278" s="8" t="n"/>
      <c r="G278" s="8" t="n"/>
      <c r="H278" s="8" t="n"/>
      <c r="I278" s="8" t="n"/>
      <c r="J278" s="8" t="n"/>
      <c r="K278">
        <f>IF(B278="","",SUMIFS(Videos!$F:$F,Videos!$B:$B,B278,Videos!$E:$E,A278))</f>
        <v/>
      </c>
      <c r="L278" s="3">
        <f>IF(OR(K278="",K278=0),"",(D278+E278)/K278*1000)</f>
        <v/>
      </c>
      <c r="M278" s="10">
        <f>IF(OR(B278="",D278+E278=0),"",G278/(D278+E278))</f>
        <v/>
      </c>
      <c r="N278" s="3">
        <f>IF(OR(K278="",K278=0),"",G278/K278*10000)</f>
        <v/>
      </c>
    </row>
    <row r="279">
      <c r="A279" s="9" t="n"/>
      <c r="B279" s="8" t="n"/>
      <c r="C279">
        <f>IF(B279="","",IFERROR(VLOOKUP(B279,Accounts!$A:$D,4,FALSE),""))</f>
        <v/>
      </c>
      <c r="D279" s="8" t="n"/>
      <c r="E279" s="8" t="n"/>
      <c r="F279" s="8" t="n"/>
      <c r="G279" s="8" t="n"/>
      <c r="H279" s="8" t="n"/>
      <c r="I279" s="8" t="n"/>
      <c r="J279" s="8" t="n"/>
      <c r="K279">
        <f>IF(B279="","",SUMIFS(Videos!$F:$F,Videos!$B:$B,B279,Videos!$E:$E,A279))</f>
        <v/>
      </c>
      <c r="L279" s="3">
        <f>IF(OR(K279="",K279=0),"",(D279+E279)/K279*1000)</f>
        <v/>
      </c>
      <c r="M279" s="10">
        <f>IF(OR(B279="",D279+E279=0),"",G279/(D279+E279))</f>
        <v/>
      </c>
      <c r="N279" s="3">
        <f>IF(OR(K279="",K279=0),"",G279/K279*10000)</f>
        <v/>
      </c>
    </row>
    <row r="280">
      <c r="A280" s="9" t="n"/>
      <c r="B280" s="8" t="n"/>
      <c r="C280">
        <f>IF(B280="","",IFERROR(VLOOKUP(B280,Accounts!$A:$D,4,FALSE),""))</f>
        <v/>
      </c>
      <c r="D280" s="8" t="n"/>
      <c r="E280" s="8" t="n"/>
      <c r="F280" s="8" t="n"/>
      <c r="G280" s="8" t="n"/>
      <c r="H280" s="8" t="n"/>
      <c r="I280" s="8" t="n"/>
      <c r="J280" s="8" t="n"/>
      <c r="K280">
        <f>IF(B280="","",SUMIFS(Videos!$F:$F,Videos!$B:$B,B280,Videos!$E:$E,A280))</f>
        <v/>
      </c>
      <c r="L280" s="3">
        <f>IF(OR(K280="",K280=0),"",(D280+E280)/K280*1000)</f>
        <v/>
      </c>
      <c r="M280" s="10">
        <f>IF(OR(B280="",D280+E280=0),"",G280/(D280+E280))</f>
        <v/>
      </c>
      <c r="N280" s="3">
        <f>IF(OR(K280="",K280=0),"",G280/K280*10000)</f>
        <v/>
      </c>
    </row>
    <row r="281">
      <c r="A281" s="9" t="n"/>
      <c r="B281" s="8" t="n"/>
      <c r="C281">
        <f>IF(B281="","",IFERROR(VLOOKUP(B281,Accounts!$A:$D,4,FALSE),""))</f>
        <v/>
      </c>
      <c r="D281" s="8" t="n"/>
      <c r="E281" s="8" t="n"/>
      <c r="F281" s="8" t="n"/>
      <c r="G281" s="8" t="n"/>
      <c r="H281" s="8" t="n"/>
      <c r="I281" s="8" t="n"/>
      <c r="J281" s="8" t="n"/>
      <c r="K281">
        <f>IF(B281="","",SUMIFS(Videos!$F:$F,Videos!$B:$B,B281,Videos!$E:$E,A281))</f>
        <v/>
      </c>
      <c r="L281" s="3">
        <f>IF(OR(K281="",K281=0),"",(D281+E281)/K281*1000)</f>
        <v/>
      </c>
      <c r="M281" s="10">
        <f>IF(OR(B281="",D281+E281=0),"",G281/(D281+E281))</f>
        <v/>
      </c>
      <c r="N281" s="3">
        <f>IF(OR(K281="",K281=0),"",G281/K281*10000)</f>
        <v/>
      </c>
    </row>
    <row r="282">
      <c r="A282" s="9" t="n"/>
      <c r="B282" s="8" t="n"/>
      <c r="C282">
        <f>IF(B282="","",IFERROR(VLOOKUP(B282,Accounts!$A:$D,4,FALSE),""))</f>
        <v/>
      </c>
      <c r="D282" s="8" t="n"/>
      <c r="E282" s="8" t="n"/>
      <c r="F282" s="8" t="n"/>
      <c r="G282" s="8" t="n"/>
      <c r="H282" s="8" t="n"/>
      <c r="I282" s="8" t="n"/>
      <c r="J282" s="8" t="n"/>
      <c r="K282">
        <f>IF(B282="","",SUMIFS(Videos!$F:$F,Videos!$B:$B,B282,Videos!$E:$E,A282))</f>
        <v/>
      </c>
      <c r="L282" s="3">
        <f>IF(OR(K282="",K282=0),"",(D282+E282)/K282*1000)</f>
        <v/>
      </c>
      <c r="M282" s="10">
        <f>IF(OR(B282="",D282+E282=0),"",G282/(D282+E282))</f>
        <v/>
      </c>
      <c r="N282" s="3">
        <f>IF(OR(K282="",K282=0),"",G282/K282*10000)</f>
        <v/>
      </c>
    </row>
    <row r="283">
      <c r="A283" s="9" t="n"/>
      <c r="B283" s="8" t="n"/>
      <c r="C283">
        <f>IF(B283="","",IFERROR(VLOOKUP(B283,Accounts!$A:$D,4,FALSE),""))</f>
        <v/>
      </c>
      <c r="D283" s="8" t="n"/>
      <c r="E283" s="8" t="n"/>
      <c r="F283" s="8" t="n"/>
      <c r="G283" s="8" t="n"/>
      <c r="H283" s="8" t="n"/>
      <c r="I283" s="8" t="n"/>
      <c r="J283" s="8" t="n"/>
      <c r="K283">
        <f>IF(B283="","",SUMIFS(Videos!$F:$F,Videos!$B:$B,B283,Videos!$E:$E,A283))</f>
        <v/>
      </c>
      <c r="L283" s="3">
        <f>IF(OR(K283="",K283=0),"",(D283+E283)/K283*1000)</f>
        <v/>
      </c>
      <c r="M283" s="10">
        <f>IF(OR(B283="",D283+E283=0),"",G283/(D283+E283))</f>
        <v/>
      </c>
      <c r="N283" s="3">
        <f>IF(OR(K283="",K283=0),"",G283/K283*10000)</f>
        <v/>
      </c>
    </row>
    <row r="284">
      <c r="A284" s="9" t="n"/>
      <c r="B284" s="8" t="n"/>
      <c r="C284">
        <f>IF(B284="","",IFERROR(VLOOKUP(B284,Accounts!$A:$D,4,FALSE),""))</f>
        <v/>
      </c>
      <c r="D284" s="8" t="n"/>
      <c r="E284" s="8" t="n"/>
      <c r="F284" s="8" t="n"/>
      <c r="G284" s="8" t="n"/>
      <c r="H284" s="8" t="n"/>
      <c r="I284" s="8" t="n"/>
      <c r="J284" s="8" t="n"/>
      <c r="K284">
        <f>IF(B284="","",SUMIFS(Videos!$F:$F,Videos!$B:$B,B284,Videos!$E:$E,A284))</f>
        <v/>
      </c>
      <c r="L284" s="3">
        <f>IF(OR(K284="",K284=0),"",(D284+E284)/K284*1000)</f>
        <v/>
      </c>
      <c r="M284" s="10">
        <f>IF(OR(B284="",D284+E284=0),"",G284/(D284+E284))</f>
        <v/>
      </c>
      <c r="N284" s="3">
        <f>IF(OR(K284="",K284=0),"",G284/K284*10000)</f>
        <v/>
      </c>
    </row>
    <row r="285">
      <c r="A285" s="9" t="n"/>
      <c r="B285" s="8" t="n"/>
      <c r="C285">
        <f>IF(B285="","",IFERROR(VLOOKUP(B285,Accounts!$A:$D,4,FALSE),""))</f>
        <v/>
      </c>
      <c r="D285" s="8" t="n"/>
      <c r="E285" s="8" t="n"/>
      <c r="F285" s="8" t="n"/>
      <c r="G285" s="8" t="n"/>
      <c r="H285" s="8" t="n"/>
      <c r="I285" s="8" t="n"/>
      <c r="J285" s="8" t="n"/>
      <c r="K285">
        <f>IF(B285="","",SUMIFS(Videos!$F:$F,Videos!$B:$B,B285,Videos!$E:$E,A285))</f>
        <v/>
      </c>
      <c r="L285" s="3">
        <f>IF(OR(K285="",K285=0),"",(D285+E285)/K285*1000)</f>
        <v/>
      </c>
      <c r="M285" s="10">
        <f>IF(OR(B285="",D285+E285=0),"",G285/(D285+E285))</f>
        <v/>
      </c>
      <c r="N285" s="3">
        <f>IF(OR(K285="",K285=0),"",G285/K285*10000)</f>
        <v/>
      </c>
    </row>
    <row r="286">
      <c r="A286" s="9" t="n"/>
      <c r="B286" s="8" t="n"/>
      <c r="C286">
        <f>IF(B286="","",IFERROR(VLOOKUP(B286,Accounts!$A:$D,4,FALSE),""))</f>
        <v/>
      </c>
      <c r="D286" s="8" t="n"/>
      <c r="E286" s="8" t="n"/>
      <c r="F286" s="8" t="n"/>
      <c r="G286" s="8" t="n"/>
      <c r="H286" s="8" t="n"/>
      <c r="I286" s="8" t="n"/>
      <c r="J286" s="8" t="n"/>
      <c r="K286">
        <f>IF(B286="","",SUMIFS(Videos!$F:$F,Videos!$B:$B,B286,Videos!$E:$E,A286))</f>
        <v/>
      </c>
      <c r="L286" s="3">
        <f>IF(OR(K286="",K286=0),"",(D286+E286)/K286*1000)</f>
        <v/>
      </c>
      <c r="M286" s="10">
        <f>IF(OR(B286="",D286+E286=0),"",G286/(D286+E286))</f>
        <v/>
      </c>
      <c r="N286" s="3">
        <f>IF(OR(K286="",K286=0),"",G286/K286*10000)</f>
        <v/>
      </c>
    </row>
    <row r="287">
      <c r="A287" s="9" t="n"/>
      <c r="B287" s="8" t="n"/>
      <c r="C287">
        <f>IF(B287="","",IFERROR(VLOOKUP(B287,Accounts!$A:$D,4,FALSE),""))</f>
        <v/>
      </c>
      <c r="D287" s="8" t="n"/>
      <c r="E287" s="8" t="n"/>
      <c r="F287" s="8" t="n"/>
      <c r="G287" s="8" t="n"/>
      <c r="H287" s="8" t="n"/>
      <c r="I287" s="8" t="n"/>
      <c r="J287" s="8" t="n"/>
      <c r="K287">
        <f>IF(B287="","",SUMIFS(Videos!$F:$F,Videos!$B:$B,B287,Videos!$E:$E,A287))</f>
        <v/>
      </c>
      <c r="L287" s="3">
        <f>IF(OR(K287="",K287=0),"",(D287+E287)/K287*1000)</f>
        <v/>
      </c>
      <c r="M287" s="10">
        <f>IF(OR(B287="",D287+E287=0),"",G287/(D287+E287))</f>
        <v/>
      </c>
      <c r="N287" s="3">
        <f>IF(OR(K287="",K287=0),"",G287/K287*10000)</f>
        <v/>
      </c>
    </row>
    <row r="288">
      <c r="A288" s="9" t="n"/>
      <c r="B288" s="8" t="n"/>
      <c r="C288">
        <f>IF(B288="","",IFERROR(VLOOKUP(B288,Accounts!$A:$D,4,FALSE),""))</f>
        <v/>
      </c>
      <c r="D288" s="8" t="n"/>
      <c r="E288" s="8" t="n"/>
      <c r="F288" s="8" t="n"/>
      <c r="G288" s="8" t="n"/>
      <c r="H288" s="8" t="n"/>
      <c r="I288" s="8" t="n"/>
      <c r="J288" s="8" t="n"/>
      <c r="K288">
        <f>IF(B288="","",SUMIFS(Videos!$F:$F,Videos!$B:$B,B288,Videos!$E:$E,A288))</f>
        <v/>
      </c>
      <c r="L288" s="3">
        <f>IF(OR(K288="",K288=0),"",(D288+E288)/K288*1000)</f>
        <v/>
      </c>
      <c r="M288" s="10">
        <f>IF(OR(B288="",D288+E288=0),"",G288/(D288+E288))</f>
        <v/>
      </c>
      <c r="N288" s="3">
        <f>IF(OR(K288="",K288=0),"",G288/K288*10000)</f>
        <v/>
      </c>
    </row>
    <row r="289">
      <c r="A289" s="9" t="n"/>
      <c r="B289" s="8" t="n"/>
      <c r="C289">
        <f>IF(B289="","",IFERROR(VLOOKUP(B289,Accounts!$A:$D,4,FALSE),""))</f>
        <v/>
      </c>
      <c r="D289" s="8" t="n"/>
      <c r="E289" s="8" t="n"/>
      <c r="F289" s="8" t="n"/>
      <c r="G289" s="8" t="n"/>
      <c r="H289" s="8" t="n"/>
      <c r="I289" s="8" t="n"/>
      <c r="J289" s="8" t="n"/>
      <c r="K289">
        <f>IF(B289="","",SUMIFS(Videos!$F:$F,Videos!$B:$B,B289,Videos!$E:$E,A289))</f>
        <v/>
      </c>
      <c r="L289" s="3">
        <f>IF(OR(K289="",K289=0),"",(D289+E289)/K289*1000)</f>
        <v/>
      </c>
      <c r="M289" s="10">
        <f>IF(OR(B289="",D289+E289=0),"",G289/(D289+E289))</f>
        <v/>
      </c>
      <c r="N289" s="3">
        <f>IF(OR(K289="",K289=0),"",G289/K289*10000)</f>
        <v/>
      </c>
    </row>
    <row r="290">
      <c r="A290" s="9" t="n"/>
      <c r="B290" s="8" t="n"/>
      <c r="C290">
        <f>IF(B290="","",IFERROR(VLOOKUP(B290,Accounts!$A:$D,4,FALSE),""))</f>
        <v/>
      </c>
      <c r="D290" s="8" t="n"/>
      <c r="E290" s="8" t="n"/>
      <c r="F290" s="8" t="n"/>
      <c r="G290" s="8" t="n"/>
      <c r="H290" s="8" t="n"/>
      <c r="I290" s="8" t="n"/>
      <c r="J290" s="8" t="n"/>
      <c r="K290">
        <f>IF(B290="","",SUMIFS(Videos!$F:$F,Videos!$B:$B,B290,Videos!$E:$E,A290))</f>
        <v/>
      </c>
      <c r="L290" s="3">
        <f>IF(OR(K290="",K290=0),"",(D290+E290)/K290*1000)</f>
        <v/>
      </c>
      <c r="M290" s="10">
        <f>IF(OR(B290="",D290+E290=0),"",G290/(D290+E290))</f>
        <v/>
      </c>
      <c r="N290" s="3">
        <f>IF(OR(K290="",K290=0),"",G290/K290*10000)</f>
        <v/>
      </c>
    </row>
    <row r="291">
      <c r="A291" s="9" t="n"/>
      <c r="B291" s="8" t="n"/>
      <c r="C291">
        <f>IF(B291="","",IFERROR(VLOOKUP(B291,Accounts!$A:$D,4,FALSE),""))</f>
        <v/>
      </c>
      <c r="D291" s="8" t="n"/>
      <c r="E291" s="8" t="n"/>
      <c r="F291" s="8" t="n"/>
      <c r="G291" s="8" t="n"/>
      <c r="H291" s="8" t="n"/>
      <c r="I291" s="8" t="n"/>
      <c r="J291" s="8" t="n"/>
      <c r="K291">
        <f>IF(B291="","",SUMIFS(Videos!$F:$F,Videos!$B:$B,B291,Videos!$E:$E,A291))</f>
        <v/>
      </c>
      <c r="L291" s="3">
        <f>IF(OR(K291="",K291=0),"",(D291+E291)/K291*1000)</f>
        <v/>
      </c>
      <c r="M291" s="10">
        <f>IF(OR(B291="",D291+E291=0),"",G291/(D291+E291))</f>
        <v/>
      </c>
      <c r="N291" s="3">
        <f>IF(OR(K291="",K291=0),"",G291/K291*10000)</f>
        <v/>
      </c>
    </row>
    <row r="292">
      <c r="A292" s="9" t="n"/>
      <c r="B292" s="8" t="n"/>
      <c r="C292">
        <f>IF(B292="","",IFERROR(VLOOKUP(B292,Accounts!$A:$D,4,FALSE),""))</f>
        <v/>
      </c>
      <c r="D292" s="8" t="n"/>
      <c r="E292" s="8" t="n"/>
      <c r="F292" s="8" t="n"/>
      <c r="G292" s="8" t="n"/>
      <c r="H292" s="8" t="n"/>
      <c r="I292" s="8" t="n"/>
      <c r="J292" s="8" t="n"/>
      <c r="K292">
        <f>IF(B292="","",SUMIFS(Videos!$F:$F,Videos!$B:$B,B292,Videos!$E:$E,A292))</f>
        <v/>
      </c>
      <c r="L292" s="3">
        <f>IF(OR(K292="",K292=0),"",(D292+E292)/K292*1000)</f>
        <v/>
      </c>
      <c r="M292" s="10">
        <f>IF(OR(B292="",D292+E292=0),"",G292/(D292+E292))</f>
        <v/>
      </c>
      <c r="N292" s="3">
        <f>IF(OR(K292="",K292=0),"",G292/K292*10000)</f>
        <v/>
      </c>
    </row>
    <row r="293">
      <c r="A293" s="9" t="n"/>
      <c r="B293" s="8" t="n"/>
      <c r="C293">
        <f>IF(B293="","",IFERROR(VLOOKUP(B293,Accounts!$A:$D,4,FALSE),""))</f>
        <v/>
      </c>
      <c r="D293" s="8" t="n"/>
      <c r="E293" s="8" t="n"/>
      <c r="F293" s="8" t="n"/>
      <c r="G293" s="8" t="n"/>
      <c r="H293" s="8" t="n"/>
      <c r="I293" s="8" t="n"/>
      <c r="J293" s="8" t="n"/>
      <c r="K293">
        <f>IF(B293="","",SUMIFS(Videos!$F:$F,Videos!$B:$B,B293,Videos!$E:$E,A293))</f>
        <v/>
      </c>
      <c r="L293" s="3">
        <f>IF(OR(K293="",K293=0),"",(D293+E293)/K293*1000)</f>
        <v/>
      </c>
      <c r="M293" s="10">
        <f>IF(OR(B293="",D293+E293=0),"",G293/(D293+E293))</f>
        <v/>
      </c>
      <c r="N293" s="3">
        <f>IF(OR(K293="",K293=0),"",G293/K293*10000)</f>
        <v/>
      </c>
    </row>
    <row r="294">
      <c r="A294" s="9" t="n"/>
      <c r="B294" s="8" t="n"/>
      <c r="C294">
        <f>IF(B294="","",IFERROR(VLOOKUP(B294,Accounts!$A:$D,4,FALSE),""))</f>
        <v/>
      </c>
      <c r="D294" s="8" t="n"/>
      <c r="E294" s="8" t="n"/>
      <c r="F294" s="8" t="n"/>
      <c r="G294" s="8" t="n"/>
      <c r="H294" s="8" t="n"/>
      <c r="I294" s="8" t="n"/>
      <c r="J294" s="8" t="n"/>
      <c r="K294">
        <f>IF(B294="","",SUMIFS(Videos!$F:$F,Videos!$B:$B,B294,Videos!$E:$E,A294))</f>
        <v/>
      </c>
      <c r="L294" s="3">
        <f>IF(OR(K294="",K294=0),"",(D294+E294)/K294*1000)</f>
        <v/>
      </c>
      <c r="M294" s="10">
        <f>IF(OR(B294="",D294+E294=0),"",G294/(D294+E294))</f>
        <v/>
      </c>
      <c r="N294" s="3">
        <f>IF(OR(K294="",K294=0),"",G294/K294*10000)</f>
        <v/>
      </c>
    </row>
    <row r="295">
      <c r="A295" s="9" t="n"/>
      <c r="B295" s="8" t="n"/>
      <c r="C295">
        <f>IF(B295="","",IFERROR(VLOOKUP(B295,Accounts!$A:$D,4,FALSE),""))</f>
        <v/>
      </c>
      <c r="D295" s="8" t="n"/>
      <c r="E295" s="8" t="n"/>
      <c r="F295" s="8" t="n"/>
      <c r="G295" s="8" t="n"/>
      <c r="H295" s="8" t="n"/>
      <c r="I295" s="8" t="n"/>
      <c r="J295" s="8" t="n"/>
      <c r="K295">
        <f>IF(B295="","",SUMIFS(Videos!$F:$F,Videos!$B:$B,B295,Videos!$E:$E,A295))</f>
        <v/>
      </c>
      <c r="L295" s="3">
        <f>IF(OR(K295="",K295=0),"",(D295+E295)/K295*1000)</f>
        <v/>
      </c>
      <c r="M295" s="10">
        <f>IF(OR(B295="",D295+E295=0),"",G295/(D295+E295))</f>
        <v/>
      </c>
      <c r="N295" s="3">
        <f>IF(OR(K295="",K295=0),"",G295/K295*10000)</f>
        <v/>
      </c>
    </row>
    <row r="296">
      <c r="A296" s="9" t="n"/>
      <c r="B296" s="8" t="n"/>
      <c r="C296">
        <f>IF(B296="","",IFERROR(VLOOKUP(B296,Accounts!$A:$D,4,FALSE),""))</f>
        <v/>
      </c>
      <c r="D296" s="8" t="n"/>
      <c r="E296" s="8" t="n"/>
      <c r="F296" s="8" t="n"/>
      <c r="G296" s="8" t="n"/>
      <c r="H296" s="8" t="n"/>
      <c r="I296" s="8" t="n"/>
      <c r="J296" s="8" t="n"/>
      <c r="K296">
        <f>IF(B296="","",SUMIFS(Videos!$F:$F,Videos!$B:$B,B296,Videos!$E:$E,A296))</f>
        <v/>
      </c>
      <c r="L296" s="3">
        <f>IF(OR(K296="",K296=0),"",(D296+E296)/K296*1000)</f>
        <v/>
      </c>
      <c r="M296" s="10">
        <f>IF(OR(B296="",D296+E296=0),"",G296/(D296+E296))</f>
        <v/>
      </c>
      <c r="N296" s="3">
        <f>IF(OR(K296="",K296=0),"",G296/K296*10000)</f>
        <v/>
      </c>
    </row>
    <row r="297">
      <c r="A297" s="9" t="n"/>
      <c r="B297" s="8" t="n"/>
      <c r="C297">
        <f>IF(B297="","",IFERROR(VLOOKUP(B297,Accounts!$A:$D,4,FALSE),""))</f>
        <v/>
      </c>
      <c r="D297" s="8" t="n"/>
      <c r="E297" s="8" t="n"/>
      <c r="F297" s="8" t="n"/>
      <c r="G297" s="8" t="n"/>
      <c r="H297" s="8" t="n"/>
      <c r="I297" s="8" t="n"/>
      <c r="J297" s="8" t="n"/>
      <c r="K297">
        <f>IF(B297="","",SUMIFS(Videos!$F:$F,Videos!$B:$B,B297,Videos!$E:$E,A297))</f>
        <v/>
      </c>
      <c r="L297" s="3">
        <f>IF(OR(K297="",K297=0),"",(D297+E297)/K297*1000)</f>
        <v/>
      </c>
      <c r="M297" s="10">
        <f>IF(OR(B297="",D297+E297=0),"",G297/(D297+E297))</f>
        <v/>
      </c>
      <c r="N297" s="3">
        <f>IF(OR(K297="",K297=0),"",G297/K297*10000)</f>
        <v/>
      </c>
    </row>
    <row r="298">
      <c r="A298" s="9" t="n"/>
      <c r="B298" s="8" t="n"/>
      <c r="C298">
        <f>IF(B298="","",IFERROR(VLOOKUP(B298,Accounts!$A:$D,4,FALSE),""))</f>
        <v/>
      </c>
      <c r="D298" s="8" t="n"/>
      <c r="E298" s="8" t="n"/>
      <c r="F298" s="8" t="n"/>
      <c r="G298" s="8" t="n"/>
      <c r="H298" s="8" t="n"/>
      <c r="I298" s="8" t="n"/>
      <c r="J298" s="8" t="n"/>
      <c r="K298">
        <f>IF(B298="","",SUMIFS(Videos!$F:$F,Videos!$B:$B,B298,Videos!$E:$E,A298))</f>
        <v/>
      </c>
      <c r="L298" s="3">
        <f>IF(OR(K298="",K298=0),"",(D298+E298)/K298*1000)</f>
        <v/>
      </c>
      <c r="M298" s="10">
        <f>IF(OR(B298="",D298+E298=0),"",G298/(D298+E298))</f>
        <v/>
      </c>
      <c r="N298" s="3">
        <f>IF(OR(K298="",K298=0),"",G298/K298*10000)</f>
        <v/>
      </c>
    </row>
    <row r="299">
      <c r="A299" s="9" t="n"/>
      <c r="B299" s="8" t="n"/>
      <c r="C299">
        <f>IF(B299="","",IFERROR(VLOOKUP(B299,Accounts!$A:$D,4,FALSE),""))</f>
        <v/>
      </c>
      <c r="D299" s="8" t="n"/>
      <c r="E299" s="8" t="n"/>
      <c r="F299" s="8" t="n"/>
      <c r="G299" s="8" t="n"/>
      <c r="H299" s="8" t="n"/>
      <c r="I299" s="8" t="n"/>
      <c r="J299" s="8" t="n"/>
      <c r="K299">
        <f>IF(B299="","",SUMIFS(Videos!$F:$F,Videos!$B:$B,B299,Videos!$E:$E,A299))</f>
        <v/>
      </c>
      <c r="L299" s="3">
        <f>IF(OR(K299="",K299=0),"",(D299+E299)/K299*1000)</f>
        <v/>
      </c>
      <c r="M299" s="10">
        <f>IF(OR(B299="",D299+E299=0),"",G299/(D299+E299))</f>
        <v/>
      </c>
      <c r="N299" s="3">
        <f>IF(OR(K299="",K299=0),"",G299/K299*10000)</f>
        <v/>
      </c>
    </row>
    <row r="300">
      <c r="A300" s="9" t="n"/>
      <c r="B300" s="8" t="n"/>
      <c r="C300">
        <f>IF(B300="","",IFERROR(VLOOKUP(B300,Accounts!$A:$D,4,FALSE),""))</f>
        <v/>
      </c>
      <c r="D300" s="8" t="n"/>
      <c r="E300" s="8" t="n"/>
      <c r="F300" s="8" t="n"/>
      <c r="G300" s="8" t="n"/>
      <c r="H300" s="8" t="n"/>
      <c r="I300" s="8" t="n"/>
      <c r="J300" s="8" t="n"/>
      <c r="K300">
        <f>IF(B300="","",SUMIFS(Videos!$F:$F,Videos!$B:$B,B300,Videos!$E:$E,A300))</f>
        <v/>
      </c>
      <c r="L300" s="3">
        <f>IF(OR(K300="",K300=0),"",(D300+E300)/K300*1000)</f>
        <v/>
      </c>
      <c r="M300" s="10">
        <f>IF(OR(B300="",D300+E300=0),"",G300/(D300+E300))</f>
        <v/>
      </c>
      <c r="N300" s="3">
        <f>IF(OR(K300="",K300=0),"",G300/K300*10000)</f>
        <v/>
      </c>
    </row>
    <row r="301">
      <c r="A301" s="9" t="n"/>
      <c r="B301" s="8" t="n"/>
      <c r="C301">
        <f>IF(B301="","",IFERROR(VLOOKUP(B301,Accounts!$A:$D,4,FALSE),""))</f>
        <v/>
      </c>
      <c r="D301" s="8" t="n"/>
      <c r="E301" s="8" t="n"/>
      <c r="F301" s="8" t="n"/>
      <c r="G301" s="8" t="n"/>
      <c r="H301" s="8" t="n"/>
      <c r="I301" s="8" t="n"/>
      <c r="J301" s="8" t="n"/>
      <c r="K301">
        <f>IF(B301="","",SUMIFS(Videos!$F:$F,Videos!$B:$B,B301,Videos!$E:$E,A301))</f>
        <v/>
      </c>
      <c r="L301" s="3">
        <f>IF(OR(K301="",K301=0),"",(D301+E301)/K301*1000)</f>
        <v/>
      </c>
      <c r="M301" s="10">
        <f>IF(OR(B301="",D301+E301=0),"",G301/(D301+E301))</f>
        <v/>
      </c>
      <c r="N301" s="3">
        <f>IF(OR(K301="",K301=0),"",G301/K301*10000)</f>
        <v/>
      </c>
    </row>
    <row r="302">
      <c r="A302" s="9" t="n"/>
      <c r="B302" s="8" t="n"/>
      <c r="C302">
        <f>IF(B302="","",IFERROR(VLOOKUP(B302,Accounts!$A:$D,4,FALSE),""))</f>
        <v/>
      </c>
      <c r="D302" s="8" t="n"/>
      <c r="E302" s="8" t="n"/>
      <c r="F302" s="8" t="n"/>
      <c r="G302" s="8" t="n"/>
      <c r="H302" s="8" t="n"/>
      <c r="I302" s="8" t="n"/>
      <c r="J302" s="8" t="n"/>
      <c r="K302">
        <f>IF(B302="","",SUMIFS(Videos!$F:$F,Videos!$B:$B,B302,Videos!$E:$E,A302))</f>
        <v/>
      </c>
      <c r="L302" s="3">
        <f>IF(OR(K302="",K302=0),"",(D302+E302)/K302*1000)</f>
        <v/>
      </c>
      <c r="M302" s="10">
        <f>IF(OR(B302="",D302+E302=0),"",G302/(D302+E302))</f>
        <v/>
      </c>
      <c r="N302" s="3">
        <f>IF(OR(K302="",K302=0),"",G302/K302*10000)</f>
        <v/>
      </c>
    </row>
    <row r="303">
      <c r="A303" s="9" t="n"/>
      <c r="B303" s="8" t="n"/>
      <c r="C303">
        <f>IF(B303="","",IFERROR(VLOOKUP(B303,Accounts!$A:$D,4,FALSE),""))</f>
        <v/>
      </c>
      <c r="D303" s="8" t="n"/>
      <c r="E303" s="8" t="n"/>
      <c r="F303" s="8" t="n"/>
      <c r="G303" s="8" t="n"/>
      <c r="H303" s="8" t="n"/>
      <c r="I303" s="8" t="n"/>
      <c r="J303" s="8" t="n"/>
      <c r="K303">
        <f>IF(B303="","",SUMIFS(Videos!$F:$F,Videos!$B:$B,B303,Videos!$E:$E,A303))</f>
        <v/>
      </c>
      <c r="L303" s="3">
        <f>IF(OR(K303="",K303=0),"",(D303+E303)/K303*1000)</f>
        <v/>
      </c>
      <c r="M303" s="10">
        <f>IF(OR(B303="",D303+E303=0),"",G303/(D303+E303))</f>
        <v/>
      </c>
      <c r="N303" s="3">
        <f>IF(OR(K303="",K303=0),"",G303/K303*10000)</f>
        <v/>
      </c>
    </row>
    <row r="304">
      <c r="A304" s="9" t="n"/>
      <c r="B304" s="8" t="n"/>
      <c r="C304">
        <f>IF(B304="","",IFERROR(VLOOKUP(B304,Accounts!$A:$D,4,FALSE),""))</f>
        <v/>
      </c>
      <c r="D304" s="8" t="n"/>
      <c r="E304" s="8" t="n"/>
      <c r="F304" s="8" t="n"/>
      <c r="G304" s="8" t="n"/>
      <c r="H304" s="8" t="n"/>
      <c r="I304" s="8" t="n"/>
      <c r="J304" s="8" t="n"/>
      <c r="K304">
        <f>IF(B304="","",SUMIFS(Videos!$F:$F,Videos!$B:$B,B304,Videos!$E:$E,A304))</f>
        <v/>
      </c>
      <c r="L304" s="3">
        <f>IF(OR(K304="",K304=0),"",(D304+E304)/K304*1000)</f>
        <v/>
      </c>
      <c r="M304" s="10">
        <f>IF(OR(B304="",D304+E304=0),"",G304/(D304+E304))</f>
        <v/>
      </c>
      <c r="N304" s="3">
        <f>IF(OR(K304="",K304=0),"",G304/K304*10000)</f>
        <v/>
      </c>
    </row>
    <row r="305">
      <c r="A305" s="9" t="n"/>
      <c r="B305" s="8" t="n"/>
      <c r="C305">
        <f>IF(B305="","",IFERROR(VLOOKUP(B305,Accounts!$A:$D,4,FALSE),""))</f>
        <v/>
      </c>
      <c r="D305" s="8" t="n"/>
      <c r="E305" s="8" t="n"/>
      <c r="F305" s="8" t="n"/>
      <c r="G305" s="8" t="n"/>
      <c r="H305" s="8" t="n"/>
      <c r="I305" s="8" t="n"/>
      <c r="J305" s="8" t="n"/>
      <c r="K305">
        <f>IF(B305="","",SUMIFS(Videos!$F:$F,Videos!$B:$B,B305,Videos!$E:$E,A305))</f>
        <v/>
      </c>
      <c r="L305" s="3">
        <f>IF(OR(K305="",K305=0),"",(D305+E305)/K305*1000)</f>
        <v/>
      </c>
      <c r="M305" s="10">
        <f>IF(OR(B305="",D305+E305=0),"",G305/(D305+E305))</f>
        <v/>
      </c>
      <c r="N305" s="3">
        <f>IF(OR(K305="",K305=0),"",G305/K305*10000)</f>
        <v/>
      </c>
    </row>
    <row r="306">
      <c r="A306" s="9" t="n"/>
      <c r="B306" s="8" t="n"/>
      <c r="C306">
        <f>IF(B306="","",IFERROR(VLOOKUP(B306,Accounts!$A:$D,4,FALSE),""))</f>
        <v/>
      </c>
      <c r="D306" s="8" t="n"/>
      <c r="E306" s="8" t="n"/>
      <c r="F306" s="8" t="n"/>
      <c r="G306" s="8" t="n"/>
      <c r="H306" s="8" t="n"/>
      <c r="I306" s="8" t="n"/>
      <c r="J306" s="8" t="n"/>
      <c r="K306">
        <f>IF(B306="","",SUMIFS(Videos!$F:$F,Videos!$B:$B,B306,Videos!$E:$E,A306))</f>
        <v/>
      </c>
      <c r="L306" s="3">
        <f>IF(OR(K306="",K306=0),"",(D306+E306)/K306*1000)</f>
        <v/>
      </c>
      <c r="M306" s="10">
        <f>IF(OR(B306="",D306+E306=0),"",G306/(D306+E306))</f>
        <v/>
      </c>
      <c r="N306" s="3">
        <f>IF(OR(K306="",K306=0),"",G306/K306*10000)</f>
        <v/>
      </c>
    </row>
    <row r="307">
      <c r="A307" s="9" t="n"/>
      <c r="B307" s="8" t="n"/>
      <c r="C307">
        <f>IF(B307="","",IFERROR(VLOOKUP(B307,Accounts!$A:$D,4,FALSE),""))</f>
        <v/>
      </c>
      <c r="D307" s="8" t="n"/>
      <c r="E307" s="8" t="n"/>
      <c r="F307" s="8" t="n"/>
      <c r="G307" s="8" t="n"/>
      <c r="H307" s="8" t="n"/>
      <c r="I307" s="8" t="n"/>
      <c r="J307" s="8" t="n"/>
      <c r="K307">
        <f>IF(B307="","",SUMIFS(Videos!$F:$F,Videos!$B:$B,B307,Videos!$E:$E,A307))</f>
        <v/>
      </c>
      <c r="L307" s="3">
        <f>IF(OR(K307="",K307=0),"",(D307+E307)/K307*1000)</f>
        <v/>
      </c>
      <c r="M307" s="10">
        <f>IF(OR(B307="",D307+E307=0),"",G307/(D307+E307))</f>
        <v/>
      </c>
      <c r="N307" s="3">
        <f>IF(OR(K307="",K307=0),"",G307/K307*10000)</f>
        <v/>
      </c>
    </row>
    <row r="308">
      <c r="A308" s="9" t="n"/>
      <c r="B308" s="8" t="n"/>
      <c r="C308">
        <f>IF(B308="","",IFERROR(VLOOKUP(B308,Accounts!$A:$D,4,FALSE),""))</f>
        <v/>
      </c>
      <c r="D308" s="8" t="n"/>
      <c r="E308" s="8" t="n"/>
      <c r="F308" s="8" t="n"/>
      <c r="G308" s="8" t="n"/>
      <c r="H308" s="8" t="n"/>
      <c r="I308" s="8" t="n"/>
      <c r="J308" s="8" t="n"/>
      <c r="K308">
        <f>IF(B308="","",SUMIFS(Videos!$F:$F,Videos!$B:$B,B308,Videos!$E:$E,A308))</f>
        <v/>
      </c>
      <c r="L308" s="3">
        <f>IF(OR(K308="",K308=0),"",(D308+E308)/K308*1000)</f>
        <v/>
      </c>
      <c r="M308" s="10">
        <f>IF(OR(B308="",D308+E308=0),"",G308/(D308+E308))</f>
        <v/>
      </c>
      <c r="N308" s="3">
        <f>IF(OR(K308="",K308=0),"",G308/K308*10000)</f>
        <v/>
      </c>
    </row>
    <row r="309">
      <c r="A309" s="9" t="n"/>
      <c r="B309" s="8" t="n"/>
      <c r="C309">
        <f>IF(B309="","",IFERROR(VLOOKUP(B309,Accounts!$A:$D,4,FALSE),""))</f>
        <v/>
      </c>
      <c r="D309" s="8" t="n"/>
      <c r="E309" s="8" t="n"/>
      <c r="F309" s="8" t="n"/>
      <c r="G309" s="8" t="n"/>
      <c r="H309" s="8" t="n"/>
      <c r="I309" s="8" t="n"/>
      <c r="J309" s="8" t="n"/>
      <c r="K309">
        <f>IF(B309="","",SUMIFS(Videos!$F:$F,Videos!$B:$B,B309,Videos!$E:$E,A309))</f>
        <v/>
      </c>
      <c r="L309" s="3">
        <f>IF(OR(K309="",K309=0),"",(D309+E309)/K309*1000)</f>
        <v/>
      </c>
      <c r="M309" s="10">
        <f>IF(OR(B309="",D309+E309=0),"",G309/(D309+E309))</f>
        <v/>
      </c>
      <c r="N309" s="3">
        <f>IF(OR(K309="",K309=0),"",G309/K309*10000)</f>
        <v/>
      </c>
    </row>
    <row r="310">
      <c r="A310" s="9" t="n"/>
      <c r="B310" s="8" t="n"/>
      <c r="C310">
        <f>IF(B310="","",IFERROR(VLOOKUP(B310,Accounts!$A:$D,4,FALSE),""))</f>
        <v/>
      </c>
      <c r="D310" s="8" t="n"/>
      <c r="E310" s="8" t="n"/>
      <c r="F310" s="8" t="n"/>
      <c r="G310" s="8" t="n"/>
      <c r="H310" s="8" t="n"/>
      <c r="I310" s="8" t="n"/>
      <c r="J310" s="8" t="n"/>
      <c r="K310">
        <f>IF(B310="","",SUMIFS(Videos!$F:$F,Videos!$B:$B,B310,Videos!$E:$E,A310))</f>
        <v/>
      </c>
      <c r="L310" s="3">
        <f>IF(OR(K310="",K310=0),"",(D310+E310)/K310*1000)</f>
        <v/>
      </c>
      <c r="M310" s="10">
        <f>IF(OR(B310="",D310+E310=0),"",G310/(D310+E310))</f>
        <v/>
      </c>
      <c r="N310" s="3">
        <f>IF(OR(K310="",K310=0),"",G310/K310*10000)</f>
        <v/>
      </c>
    </row>
    <row r="311">
      <c r="A311" s="9" t="n"/>
      <c r="B311" s="8" t="n"/>
      <c r="C311">
        <f>IF(B311="","",IFERROR(VLOOKUP(B311,Accounts!$A:$D,4,FALSE),""))</f>
        <v/>
      </c>
      <c r="D311" s="8" t="n"/>
      <c r="E311" s="8" t="n"/>
      <c r="F311" s="8" t="n"/>
      <c r="G311" s="8" t="n"/>
      <c r="H311" s="8" t="n"/>
      <c r="I311" s="8" t="n"/>
      <c r="J311" s="8" t="n"/>
      <c r="K311">
        <f>IF(B311="","",SUMIFS(Videos!$F:$F,Videos!$B:$B,B311,Videos!$E:$E,A311))</f>
        <v/>
      </c>
      <c r="L311" s="3">
        <f>IF(OR(K311="",K311=0),"",(D311+E311)/K311*1000)</f>
        <v/>
      </c>
      <c r="M311" s="10">
        <f>IF(OR(B311="",D311+E311=0),"",G311/(D311+E311))</f>
        <v/>
      </c>
      <c r="N311" s="3">
        <f>IF(OR(K311="",K311=0),"",G311/K311*10000)</f>
        <v/>
      </c>
    </row>
    <row r="312">
      <c r="A312" s="9" t="n"/>
      <c r="B312" s="8" t="n"/>
      <c r="C312">
        <f>IF(B312="","",IFERROR(VLOOKUP(B312,Accounts!$A:$D,4,FALSE),""))</f>
        <v/>
      </c>
      <c r="D312" s="8" t="n"/>
      <c r="E312" s="8" t="n"/>
      <c r="F312" s="8" t="n"/>
      <c r="G312" s="8" t="n"/>
      <c r="H312" s="8" t="n"/>
      <c r="I312" s="8" t="n"/>
      <c r="J312" s="8" t="n"/>
      <c r="K312">
        <f>IF(B312="","",SUMIFS(Videos!$F:$F,Videos!$B:$B,B312,Videos!$E:$E,A312))</f>
        <v/>
      </c>
      <c r="L312" s="3">
        <f>IF(OR(K312="",K312=0),"",(D312+E312)/K312*1000)</f>
        <v/>
      </c>
      <c r="M312" s="10">
        <f>IF(OR(B312="",D312+E312=0),"",G312/(D312+E312))</f>
        <v/>
      </c>
      <c r="N312" s="3">
        <f>IF(OR(K312="",K312=0),"",G312/K312*10000)</f>
        <v/>
      </c>
    </row>
    <row r="313">
      <c r="A313" s="9" t="n"/>
      <c r="B313" s="8" t="n"/>
      <c r="C313">
        <f>IF(B313="","",IFERROR(VLOOKUP(B313,Accounts!$A:$D,4,FALSE),""))</f>
        <v/>
      </c>
      <c r="D313" s="8" t="n"/>
      <c r="E313" s="8" t="n"/>
      <c r="F313" s="8" t="n"/>
      <c r="G313" s="8" t="n"/>
      <c r="H313" s="8" t="n"/>
      <c r="I313" s="8" t="n"/>
      <c r="J313" s="8" t="n"/>
      <c r="K313">
        <f>IF(B313="","",SUMIFS(Videos!$F:$F,Videos!$B:$B,B313,Videos!$E:$E,A313))</f>
        <v/>
      </c>
      <c r="L313" s="3">
        <f>IF(OR(K313="",K313=0),"",(D313+E313)/K313*1000)</f>
        <v/>
      </c>
      <c r="M313" s="10">
        <f>IF(OR(B313="",D313+E313=0),"",G313/(D313+E313))</f>
        <v/>
      </c>
      <c r="N313" s="3">
        <f>IF(OR(K313="",K313=0),"",G313/K313*10000)</f>
        <v/>
      </c>
    </row>
    <row r="314">
      <c r="A314" s="9" t="n"/>
      <c r="B314" s="8" t="n"/>
      <c r="C314">
        <f>IF(B314="","",IFERROR(VLOOKUP(B314,Accounts!$A:$D,4,FALSE),""))</f>
        <v/>
      </c>
      <c r="D314" s="8" t="n"/>
      <c r="E314" s="8" t="n"/>
      <c r="F314" s="8" t="n"/>
      <c r="G314" s="8" t="n"/>
      <c r="H314" s="8" t="n"/>
      <c r="I314" s="8" t="n"/>
      <c r="J314" s="8" t="n"/>
      <c r="K314">
        <f>IF(B314="","",SUMIFS(Videos!$F:$F,Videos!$B:$B,B314,Videos!$E:$E,A314))</f>
        <v/>
      </c>
      <c r="L314" s="3">
        <f>IF(OR(K314="",K314=0),"",(D314+E314)/K314*1000)</f>
        <v/>
      </c>
      <c r="M314" s="10">
        <f>IF(OR(B314="",D314+E314=0),"",G314/(D314+E314))</f>
        <v/>
      </c>
      <c r="N314" s="3">
        <f>IF(OR(K314="",K314=0),"",G314/K314*10000)</f>
        <v/>
      </c>
    </row>
    <row r="315">
      <c r="A315" s="9" t="n"/>
      <c r="B315" s="8" t="n"/>
      <c r="C315">
        <f>IF(B315="","",IFERROR(VLOOKUP(B315,Accounts!$A:$D,4,FALSE),""))</f>
        <v/>
      </c>
      <c r="D315" s="8" t="n"/>
      <c r="E315" s="8" t="n"/>
      <c r="F315" s="8" t="n"/>
      <c r="G315" s="8" t="n"/>
      <c r="H315" s="8" t="n"/>
      <c r="I315" s="8" t="n"/>
      <c r="J315" s="8" t="n"/>
      <c r="K315">
        <f>IF(B315="","",SUMIFS(Videos!$F:$F,Videos!$B:$B,B315,Videos!$E:$E,A315))</f>
        <v/>
      </c>
      <c r="L315" s="3">
        <f>IF(OR(K315="",K315=0),"",(D315+E315)/K315*1000)</f>
        <v/>
      </c>
      <c r="M315" s="10">
        <f>IF(OR(B315="",D315+E315=0),"",G315/(D315+E315))</f>
        <v/>
      </c>
      <c r="N315" s="3">
        <f>IF(OR(K315="",K315=0),"",G315/K315*10000)</f>
        <v/>
      </c>
    </row>
    <row r="316">
      <c r="A316" s="9" t="n"/>
      <c r="B316" s="8" t="n"/>
      <c r="C316">
        <f>IF(B316="","",IFERROR(VLOOKUP(B316,Accounts!$A:$D,4,FALSE),""))</f>
        <v/>
      </c>
      <c r="D316" s="8" t="n"/>
      <c r="E316" s="8" t="n"/>
      <c r="F316" s="8" t="n"/>
      <c r="G316" s="8" t="n"/>
      <c r="H316" s="8" t="n"/>
      <c r="I316" s="8" t="n"/>
      <c r="J316" s="8" t="n"/>
      <c r="K316">
        <f>IF(B316="","",SUMIFS(Videos!$F:$F,Videos!$B:$B,B316,Videos!$E:$E,A316))</f>
        <v/>
      </c>
      <c r="L316" s="3">
        <f>IF(OR(K316="",K316=0),"",(D316+E316)/K316*1000)</f>
        <v/>
      </c>
      <c r="M316" s="10">
        <f>IF(OR(B316="",D316+E316=0),"",G316/(D316+E316))</f>
        <v/>
      </c>
      <c r="N316" s="3">
        <f>IF(OR(K316="",K316=0),"",G316/K316*10000)</f>
        <v/>
      </c>
    </row>
    <row r="317">
      <c r="A317" s="9" t="n"/>
      <c r="B317" s="8" t="n"/>
      <c r="C317">
        <f>IF(B317="","",IFERROR(VLOOKUP(B317,Accounts!$A:$D,4,FALSE),""))</f>
        <v/>
      </c>
      <c r="D317" s="8" t="n"/>
      <c r="E317" s="8" t="n"/>
      <c r="F317" s="8" t="n"/>
      <c r="G317" s="8" t="n"/>
      <c r="H317" s="8" t="n"/>
      <c r="I317" s="8" t="n"/>
      <c r="J317" s="8" t="n"/>
      <c r="K317">
        <f>IF(B317="","",SUMIFS(Videos!$F:$F,Videos!$B:$B,B317,Videos!$E:$E,A317))</f>
        <v/>
      </c>
      <c r="L317" s="3">
        <f>IF(OR(K317="",K317=0),"",(D317+E317)/K317*1000)</f>
        <v/>
      </c>
      <c r="M317" s="10">
        <f>IF(OR(B317="",D317+E317=0),"",G317/(D317+E317))</f>
        <v/>
      </c>
      <c r="N317" s="3">
        <f>IF(OR(K317="",K317=0),"",G317/K317*10000)</f>
        <v/>
      </c>
    </row>
    <row r="318">
      <c r="A318" s="9" t="n"/>
      <c r="B318" s="8" t="n"/>
      <c r="C318">
        <f>IF(B318="","",IFERROR(VLOOKUP(B318,Accounts!$A:$D,4,FALSE),""))</f>
        <v/>
      </c>
      <c r="D318" s="8" t="n"/>
      <c r="E318" s="8" t="n"/>
      <c r="F318" s="8" t="n"/>
      <c r="G318" s="8" t="n"/>
      <c r="H318" s="8" t="n"/>
      <c r="I318" s="8" t="n"/>
      <c r="J318" s="8" t="n"/>
      <c r="K318">
        <f>IF(B318="","",SUMIFS(Videos!$F:$F,Videos!$B:$B,B318,Videos!$E:$E,A318))</f>
        <v/>
      </c>
      <c r="L318" s="3">
        <f>IF(OR(K318="",K318=0),"",(D318+E318)/K318*1000)</f>
        <v/>
      </c>
      <c r="M318" s="10">
        <f>IF(OR(B318="",D318+E318=0),"",G318/(D318+E318))</f>
        <v/>
      </c>
      <c r="N318" s="3">
        <f>IF(OR(K318="",K318=0),"",G318/K318*10000)</f>
        <v/>
      </c>
    </row>
    <row r="319">
      <c r="A319" s="9" t="n"/>
      <c r="B319" s="8" t="n"/>
      <c r="C319">
        <f>IF(B319="","",IFERROR(VLOOKUP(B319,Accounts!$A:$D,4,FALSE),""))</f>
        <v/>
      </c>
      <c r="D319" s="8" t="n"/>
      <c r="E319" s="8" t="n"/>
      <c r="F319" s="8" t="n"/>
      <c r="G319" s="8" t="n"/>
      <c r="H319" s="8" t="n"/>
      <c r="I319" s="8" t="n"/>
      <c r="J319" s="8" t="n"/>
      <c r="K319">
        <f>IF(B319="","",SUMIFS(Videos!$F:$F,Videos!$B:$B,B319,Videos!$E:$E,A319))</f>
        <v/>
      </c>
      <c r="L319" s="3">
        <f>IF(OR(K319="",K319=0),"",(D319+E319)/K319*1000)</f>
        <v/>
      </c>
      <c r="M319" s="10">
        <f>IF(OR(B319="",D319+E319=0),"",G319/(D319+E319))</f>
        <v/>
      </c>
      <c r="N319" s="3">
        <f>IF(OR(K319="",K319=0),"",G319/K319*10000)</f>
        <v/>
      </c>
    </row>
    <row r="320">
      <c r="A320" s="9" t="n"/>
      <c r="B320" s="8" t="n"/>
      <c r="C320">
        <f>IF(B320="","",IFERROR(VLOOKUP(B320,Accounts!$A:$D,4,FALSE),""))</f>
        <v/>
      </c>
      <c r="D320" s="8" t="n"/>
      <c r="E320" s="8" t="n"/>
      <c r="F320" s="8" t="n"/>
      <c r="G320" s="8" t="n"/>
      <c r="H320" s="8" t="n"/>
      <c r="I320" s="8" t="n"/>
      <c r="J320" s="8" t="n"/>
      <c r="K320">
        <f>IF(B320="","",SUMIFS(Videos!$F:$F,Videos!$B:$B,B320,Videos!$E:$E,A320))</f>
        <v/>
      </c>
      <c r="L320" s="3">
        <f>IF(OR(K320="",K320=0),"",(D320+E320)/K320*1000)</f>
        <v/>
      </c>
      <c r="M320" s="10">
        <f>IF(OR(B320="",D320+E320=0),"",G320/(D320+E320))</f>
        <v/>
      </c>
      <c r="N320" s="3">
        <f>IF(OR(K320="",K320=0),"",G320/K320*10000)</f>
        <v/>
      </c>
    </row>
    <row r="321">
      <c r="A321" s="9" t="n"/>
      <c r="B321" s="8" t="n"/>
      <c r="C321">
        <f>IF(B321="","",IFERROR(VLOOKUP(B321,Accounts!$A:$D,4,FALSE),""))</f>
        <v/>
      </c>
      <c r="D321" s="8" t="n"/>
      <c r="E321" s="8" t="n"/>
      <c r="F321" s="8" t="n"/>
      <c r="G321" s="8" t="n"/>
      <c r="H321" s="8" t="n"/>
      <c r="I321" s="8" t="n"/>
      <c r="J321" s="8" t="n"/>
      <c r="K321">
        <f>IF(B321="","",SUMIFS(Videos!$F:$F,Videos!$B:$B,B321,Videos!$E:$E,A321))</f>
        <v/>
      </c>
      <c r="L321" s="3">
        <f>IF(OR(K321="",K321=0),"",(D321+E321)/K321*1000)</f>
        <v/>
      </c>
      <c r="M321" s="10">
        <f>IF(OR(B321="",D321+E321=0),"",G321/(D321+E321))</f>
        <v/>
      </c>
      <c r="N321" s="3">
        <f>IF(OR(K321="",K321=0),"",G321/K321*10000)</f>
        <v/>
      </c>
    </row>
    <row r="322">
      <c r="A322" s="9" t="n"/>
      <c r="B322" s="8" t="n"/>
      <c r="C322">
        <f>IF(B322="","",IFERROR(VLOOKUP(B322,Accounts!$A:$D,4,FALSE),""))</f>
        <v/>
      </c>
      <c r="D322" s="8" t="n"/>
      <c r="E322" s="8" t="n"/>
      <c r="F322" s="8" t="n"/>
      <c r="G322" s="8" t="n"/>
      <c r="H322" s="8" t="n"/>
      <c r="I322" s="8" t="n"/>
      <c r="J322" s="8" t="n"/>
      <c r="K322">
        <f>IF(B322="","",SUMIFS(Videos!$F:$F,Videos!$B:$B,B322,Videos!$E:$E,A322))</f>
        <v/>
      </c>
      <c r="L322" s="3">
        <f>IF(OR(K322="",K322=0),"",(D322+E322)/K322*1000)</f>
        <v/>
      </c>
      <c r="M322" s="10">
        <f>IF(OR(B322="",D322+E322=0),"",G322/(D322+E322))</f>
        <v/>
      </c>
      <c r="N322" s="3">
        <f>IF(OR(K322="",K322=0),"",G322/K322*10000)</f>
        <v/>
      </c>
    </row>
    <row r="323">
      <c r="A323" s="9" t="n"/>
      <c r="B323" s="8" t="n"/>
      <c r="C323">
        <f>IF(B323="","",IFERROR(VLOOKUP(B323,Accounts!$A:$D,4,FALSE),""))</f>
        <v/>
      </c>
      <c r="D323" s="8" t="n"/>
      <c r="E323" s="8" t="n"/>
      <c r="F323" s="8" t="n"/>
      <c r="G323" s="8" t="n"/>
      <c r="H323" s="8" t="n"/>
      <c r="I323" s="8" t="n"/>
      <c r="J323" s="8" t="n"/>
      <c r="K323">
        <f>IF(B323="","",SUMIFS(Videos!$F:$F,Videos!$B:$B,B323,Videos!$E:$E,A323))</f>
        <v/>
      </c>
      <c r="L323" s="3">
        <f>IF(OR(K323="",K323=0),"",(D323+E323)/K323*1000)</f>
        <v/>
      </c>
      <c r="M323" s="10">
        <f>IF(OR(B323="",D323+E323=0),"",G323/(D323+E323))</f>
        <v/>
      </c>
      <c r="N323" s="3">
        <f>IF(OR(K323="",K323=0),"",G323/K323*10000)</f>
        <v/>
      </c>
    </row>
    <row r="324">
      <c r="A324" s="9" t="n"/>
      <c r="B324" s="8" t="n"/>
      <c r="C324">
        <f>IF(B324="","",IFERROR(VLOOKUP(B324,Accounts!$A:$D,4,FALSE),""))</f>
        <v/>
      </c>
      <c r="D324" s="8" t="n"/>
      <c r="E324" s="8" t="n"/>
      <c r="F324" s="8" t="n"/>
      <c r="G324" s="8" t="n"/>
      <c r="H324" s="8" t="n"/>
      <c r="I324" s="8" t="n"/>
      <c r="J324" s="8" t="n"/>
      <c r="K324">
        <f>IF(B324="","",SUMIFS(Videos!$F:$F,Videos!$B:$B,B324,Videos!$E:$E,A324))</f>
        <v/>
      </c>
      <c r="L324" s="3">
        <f>IF(OR(K324="",K324=0),"",(D324+E324)/K324*1000)</f>
        <v/>
      </c>
      <c r="M324" s="10">
        <f>IF(OR(B324="",D324+E324=0),"",G324/(D324+E324))</f>
        <v/>
      </c>
      <c r="N324" s="3">
        <f>IF(OR(K324="",K324=0),"",G324/K324*10000)</f>
        <v/>
      </c>
    </row>
    <row r="325">
      <c r="A325" s="9" t="n"/>
      <c r="B325" s="8" t="n"/>
      <c r="C325">
        <f>IF(B325="","",IFERROR(VLOOKUP(B325,Accounts!$A:$D,4,FALSE),""))</f>
        <v/>
      </c>
      <c r="D325" s="8" t="n"/>
      <c r="E325" s="8" t="n"/>
      <c r="F325" s="8" t="n"/>
      <c r="G325" s="8" t="n"/>
      <c r="H325" s="8" t="n"/>
      <c r="I325" s="8" t="n"/>
      <c r="J325" s="8" t="n"/>
      <c r="K325">
        <f>IF(B325="","",SUMIFS(Videos!$F:$F,Videos!$B:$B,B325,Videos!$E:$E,A325))</f>
        <v/>
      </c>
      <c r="L325" s="3">
        <f>IF(OR(K325="",K325=0),"",(D325+E325)/K325*1000)</f>
        <v/>
      </c>
      <c r="M325" s="10">
        <f>IF(OR(B325="",D325+E325=0),"",G325/(D325+E325))</f>
        <v/>
      </c>
      <c r="N325" s="3">
        <f>IF(OR(K325="",K325=0),"",G325/K325*10000)</f>
        <v/>
      </c>
    </row>
    <row r="326">
      <c r="A326" s="9" t="n"/>
      <c r="B326" s="8" t="n"/>
      <c r="C326">
        <f>IF(B326="","",IFERROR(VLOOKUP(B326,Accounts!$A:$D,4,FALSE),""))</f>
        <v/>
      </c>
      <c r="D326" s="8" t="n"/>
      <c r="E326" s="8" t="n"/>
      <c r="F326" s="8" t="n"/>
      <c r="G326" s="8" t="n"/>
      <c r="H326" s="8" t="n"/>
      <c r="I326" s="8" t="n"/>
      <c r="J326" s="8" t="n"/>
      <c r="K326">
        <f>IF(B326="","",SUMIFS(Videos!$F:$F,Videos!$B:$B,B326,Videos!$E:$E,A326))</f>
        <v/>
      </c>
      <c r="L326" s="3">
        <f>IF(OR(K326="",K326=0),"",(D326+E326)/K326*1000)</f>
        <v/>
      </c>
      <c r="M326" s="10">
        <f>IF(OR(B326="",D326+E326=0),"",G326/(D326+E326))</f>
        <v/>
      </c>
      <c r="N326" s="3">
        <f>IF(OR(K326="",K326=0),"",G326/K326*10000)</f>
        <v/>
      </c>
    </row>
    <row r="327">
      <c r="A327" s="9" t="n"/>
      <c r="B327" s="8" t="n"/>
      <c r="C327">
        <f>IF(B327="","",IFERROR(VLOOKUP(B327,Accounts!$A:$D,4,FALSE),""))</f>
        <v/>
      </c>
      <c r="D327" s="8" t="n"/>
      <c r="E327" s="8" t="n"/>
      <c r="F327" s="8" t="n"/>
      <c r="G327" s="8" t="n"/>
      <c r="H327" s="8" t="n"/>
      <c r="I327" s="8" t="n"/>
      <c r="J327" s="8" t="n"/>
      <c r="K327">
        <f>IF(B327="","",SUMIFS(Videos!$F:$F,Videos!$B:$B,B327,Videos!$E:$E,A327))</f>
        <v/>
      </c>
      <c r="L327" s="3">
        <f>IF(OR(K327="",K327=0),"",(D327+E327)/K327*1000)</f>
        <v/>
      </c>
      <c r="M327" s="10">
        <f>IF(OR(B327="",D327+E327=0),"",G327/(D327+E327))</f>
        <v/>
      </c>
      <c r="N327" s="3">
        <f>IF(OR(K327="",K327=0),"",G327/K327*10000)</f>
        <v/>
      </c>
    </row>
    <row r="328">
      <c r="A328" s="9" t="n"/>
      <c r="B328" s="8" t="n"/>
      <c r="C328">
        <f>IF(B328="","",IFERROR(VLOOKUP(B328,Accounts!$A:$D,4,FALSE),""))</f>
        <v/>
      </c>
      <c r="D328" s="8" t="n"/>
      <c r="E328" s="8" t="n"/>
      <c r="F328" s="8" t="n"/>
      <c r="G328" s="8" t="n"/>
      <c r="H328" s="8" t="n"/>
      <c r="I328" s="8" t="n"/>
      <c r="J328" s="8" t="n"/>
      <c r="K328">
        <f>IF(B328="","",SUMIFS(Videos!$F:$F,Videos!$B:$B,B328,Videos!$E:$E,A328))</f>
        <v/>
      </c>
      <c r="L328" s="3">
        <f>IF(OR(K328="",K328=0),"",(D328+E328)/K328*1000)</f>
        <v/>
      </c>
      <c r="M328" s="10">
        <f>IF(OR(B328="",D328+E328=0),"",G328/(D328+E328))</f>
        <v/>
      </c>
      <c r="N328" s="3">
        <f>IF(OR(K328="",K328=0),"",G328/K328*10000)</f>
        <v/>
      </c>
    </row>
    <row r="329">
      <c r="A329" s="9" t="n"/>
      <c r="B329" s="8" t="n"/>
      <c r="C329">
        <f>IF(B329="","",IFERROR(VLOOKUP(B329,Accounts!$A:$D,4,FALSE),""))</f>
        <v/>
      </c>
      <c r="D329" s="8" t="n"/>
      <c r="E329" s="8" t="n"/>
      <c r="F329" s="8" t="n"/>
      <c r="G329" s="8" t="n"/>
      <c r="H329" s="8" t="n"/>
      <c r="I329" s="8" t="n"/>
      <c r="J329" s="8" t="n"/>
      <c r="K329">
        <f>IF(B329="","",SUMIFS(Videos!$F:$F,Videos!$B:$B,B329,Videos!$E:$E,A329))</f>
        <v/>
      </c>
      <c r="L329" s="3">
        <f>IF(OR(K329="",K329=0),"",(D329+E329)/K329*1000)</f>
        <v/>
      </c>
      <c r="M329" s="10">
        <f>IF(OR(B329="",D329+E329=0),"",G329/(D329+E329))</f>
        <v/>
      </c>
      <c r="N329" s="3">
        <f>IF(OR(K329="",K329=0),"",G329/K329*10000)</f>
        <v/>
      </c>
    </row>
    <row r="330">
      <c r="A330" s="9" t="n"/>
      <c r="B330" s="8" t="n"/>
      <c r="C330">
        <f>IF(B330="","",IFERROR(VLOOKUP(B330,Accounts!$A:$D,4,FALSE),""))</f>
        <v/>
      </c>
      <c r="D330" s="8" t="n"/>
      <c r="E330" s="8" t="n"/>
      <c r="F330" s="8" t="n"/>
      <c r="G330" s="8" t="n"/>
      <c r="H330" s="8" t="n"/>
      <c r="I330" s="8" t="n"/>
      <c r="J330" s="8" t="n"/>
      <c r="K330">
        <f>IF(B330="","",SUMIFS(Videos!$F:$F,Videos!$B:$B,B330,Videos!$E:$E,A330))</f>
        <v/>
      </c>
      <c r="L330" s="3">
        <f>IF(OR(K330="",K330=0),"",(D330+E330)/K330*1000)</f>
        <v/>
      </c>
      <c r="M330" s="10">
        <f>IF(OR(B330="",D330+E330=0),"",G330/(D330+E330))</f>
        <v/>
      </c>
      <c r="N330" s="3">
        <f>IF(OR(K330="",K330=0),"",G330/K330*10000)</f>
        <v/>
      </c>
    </row>
    <row r="331">
      <c r="A331" s="9" t="n"/>
      <c r="B331" s="8" t="n"/>
      <c r="C331">
        <f>IF(B331="","",IFERROR(VLOOKUP(B331,Accounts!$A:$D,4,FALSE),""))</f>
        <v/>
      </c>
      <c r="D331" s="8" t="n"/>
      <c r="E331" s="8" t="n"/>
      <c r="F331" s="8" t="n"/>
      <c r="G331" s="8" t="n"/>
      <c r="H331" s="8" t="n"/>
      <c r="I331" s="8" t="n"/>
      <c r="J331" s="8" t="n"/>
      <c r="K331">
        <f>IF(B331="","",SUMIFS(Videos!$F:$F,Videos!$B:$B,B331,Videos!$E:$E,A331))</f>
        <v/>
      </c>
      <c r="L331" s="3">
        <f>IF(OR(K331="",K331=0),"",(D331+E331)/K331*1000)</f>
        <v/>
      </c>
      <c r="M331" s="10">
        <f>IF(OR(B331="",D331+E331=0),"",G331/(D331+E331))</f>
        <v/>
      </c>
      <c r="N331" s="3">
        <f>IF(OR(K331="",K331=0),"",G331/K331*10000)</f>
        <v/>
      </c>
    </row>
    <row r="332">
      <c r="A332" s="9" t="n"/>
      <c r="B332" s="8" t="n"/>
      <c r="C332">
        <f>IF(B332="","",IFERROR(VLOOKUP(B332,Accounts!$A:$D,4,FALSE),""))</f>
        <v/>
      </c>
      <c r="D332" s="8" t="n"/>
      <c r="E332" s="8" t="n"/>
      <c r="F332" s="8" t="n"/>
      <c r="G332" s="8" t="n"/>
      <c r="H332" s="8" t="n"/>
      <c r="I332" s="8" t="n"/>
      <c r="J332" s="8" t="n"/>
      <c r="K332">
        <f>IF(B332="","",SUMIFS(Videos!$F:$F,Videos!$B:$B,B332,Videos!$E:$E,A332))</f>
        <v/>
      </c>
      <c r="L332" s="3">
        <f>IF(OR(K332="",K332=0),"",(D332+E332)/K332*1000)</f>
        <v/>
      </c>
      <c r="M332" s="10">
        <f>IF(OR(B332="",D332+E332=0),"",G332/(D332+E332))</f>
        <v/>
      </c>
      <c r="N332" s="3">
        <f>IF(OR(K332="",K332=0),"",G332/K332*10000)</f>
        <v/>
      </c>
    </row>
    <row r="333">
      <c r="A333" s="9" t="n"/>
      <c r="B333" s="8" t="n"/>
      <c r="C333">
        <f>IF(B333="","",IFERROR(VLOOKUP(B333,Accounts!$A:$D,4,FALSE),""))</f>
        <v/>
      </c>
      <c r="D333" s="8" t="n"/>
      <c r="E333" s="8" t="n"/>
      <c r="F333" s="8" t="n"/>
      <c r="G333" s="8" t="n"/>
      <c r="H333" s="8" t="n"/>
      <c r="I333" s="8" t="n"/>
      <c r="J333" s="8" t="n"/>
      <c r="K333">
        <f>IF(B333="","",SUMIFS(Videos!$F:$F,Videos!$B:$B,B333,Videos!$E:$E,A333))</f>
        <v/>
      </c>
      <c r="L333" s="3">
        <f>IF(OR(K333="",K333=0),"",(D333+E333)/K333*1000)</f>
        <v/>
      </c>
      <c r="M333" s="10">
        <f>IF(OR(B333="",D333+E333=0),"",G333/(D333+E333))</f>
        <v/>
      </c>
      <c r="N333" s="3">
        <f>IF(OR(K333="",K333=0),"",G333/K333*10000)</f>
        <v/>
      </c>
    </row>
    <row r="334">
      <c r="A334" s="9" t="n"/>
      <c r="B334" s="8" t="n"/>
      <c r="C334">
        <f>IF(B334="","",IFERROR(VLOOKUP(B334,Accounts!$A:$D,4,FALSE),""))</f>
        <v/>
      </c>
      <c r="D334" s="8" t="n"/>
      <c r="E334" s="8" t="n"/>
      <c r="F334" s="8" t="n"/>
      <c r="G334" s="8" t="n"/>
      <c r="H334" s="8" t="n"/>
      <c r="I334" s="8" t="n"/>
      <c r="J334" s="8" t="n"/>
      <c r="K334">
        <f>IF(B334="","",SUMIFS(Videos!$F:$F,Videos!$B:$B,B334,Videos!$E:$E,A334))</f>
        <v/>
      </c>
      <c r="L334" s="3">
        <f>IF(OR(K334="",K334=0),"",(D334+E334)/K334*1000)</f>
        <v/>
      </c>
      <c r="M334" s="10">
        <f>IF(OR(B334="",D334+E334=0),"",G334/(D334+E334))</f>
        <v/>
      </c>
      <c r="N334" s="3">
        <f>IF(OR(K334="",K334=0),"",G334/K334*10000)</f>
        <v/>
      </c>
    </row>
    <row r="335">
      <c r="A335" s="9" t="n"/>
      <c r="B335" s="8" t="n"/>
      <c r="C335">
        <f>IF(B335="","",IFERROR(VLOOKUP(B335,Accounts!$A:$D,4,FALSE),""))</f>
        <v/>
      </c>
      <c r="D335" s="8" t="n"/>
      <c r="E335" s="8" t="n"/>
      <c r="F335" s="8" t="n"/>
      <c r="G335" s="8" t="n"/>
      <c r="H335" s="8" t="n"/>
      <c r="I335" s="8" t="n"/>
      <c r="J335" s="8" t="n"/>
      <c r="K335">
        <f>IF(B335="","",SUMIFS(Videos!$F:$F,Videos!$B:$B,B335,Videos!$E:$E,A335))</f>
        <v/>
      </c>
      <c r="L335" s="3">
        <f>IF(OR(K335="",K335=0),"",(D335+E335)/K335*1000)</f>
        <v/>
      </c>
      <c r="M335" s="10">
        <f>IF(OR(B335="",D335+E335=0),"",G335/(D335+E335))</f>
        <v/>
      </c>
      <c r="N335" s="3">
        <f>IF(OR(K335="",K335=0),"",G335/K335*10000)</f>
        <v/>
      </c>
    </row>
    <row r="336">
      <c r="A336" s="9" t="n"/>
      <c r="B336" s="8" t="n"/>
      <c r="C336">
        <f>IF(B336="","",IFERROR(VLOOKUP(B336,Accounts!$A:$D,4,FALSE),""))</f>
        <v/>
      </c>
      <c r="D336" s="8" t="n"/>
      <c r="E336" s="8" t="n"/>
      <c r="F336" s="8" t="n"/>
      <c r="G336" s="8" t="n"/>
      <c r="H336" s="8" t="n"/>
      <c r="I336" s="8" t="n"/>
      <c r="J336" s="8" t="n"/>
      <c r="K336">
        <f>IF(B336="","",SUMIFS(Videos!$F:$F,Videos!$B:$B,B336,Videos!$E:$E,A336))</f>
        <v/>
      </c>
      <c r="L336" s="3">
        <f>IF(OR(K336="",K336=0),"",(D336+E336)/K336*1000)</f>
        <v/>
      </c>
      <c r="M336" s="10">
        <f>IF(OR(B336="",D336+E336=0),"",G336/(D336+E336))</f>
        <v/>
      </c>
      <c r="N336" s="3">
        <f>IF(OR(K336="",K336=0),"",G336/K336*10000)</f>
        <v/>
      </c>
    </row>
    <row r="337">
      <c r="A337" s="9" t="n"/>
      <c r="B337" s="8" t="n"/>
      <c r="C337">
        <f>IF(B337="","",IFERROR(VLOOKUP(B337,Accounts!$A:$D,4,FALSE),""))</f>
        <v/>
      </c>
      <c r="D337" s="8" t="n"/>
      <c r="E337" s="8" t="n"/>
      <c r="F337" s="8" t="n"/>
      <c r="G337" s="8" t="n"/>
      <c r="H337" s="8" t="n"/>
      <c r="I337" s="8" t="n"/>
      <c r="J337" s="8" t="n"/>
      <c r="K337">
        <f>IF(B337="","",SUMIFS(Videos!$F:$F,Videos!$B:$B,B337,Videos!$E:$E,A337))</f>
        <v/>
      </c>
      <c r="L337" s="3">
        <f>IF(OR(K337="",K337=0),"",(D337+E337)/K337*1000)</f>
        <v/>
      </c>
      <c r="M337" s="10">
        <f>IF(OR(B337="",D337+E337=0),"",G337/(D337+E337))</f>
        <v/>
      </c>
      <c r="N337" s="3">
        <f>IF(OR(K337="",K337=0),"",G337/K337*10000)</f>
        <v/>
      </c>
    </row>
    <row r="338">
      <c r="A338" s="9" t="n"/>
      <c r="B338" s="8" t="n"/>
      <c r="C338">
        <f>IF(B338="","",IFERROR(VLOOKUP(B338,Accounts!$A:$D,4,FALSE),""))</f>
        <v/>
      </c>
      <c r="D338" s="8" t="n"/>
      <c r="E338" s="8" t="n"/>
      <c r="F338" s="8" t="n"/>
      <c r="G338" s="8" t="n"/>
      <c r="H338" s="8" t="n"/>
      <c r="I338" s="8" t="n"/>
      <c r="J338" s="8" t="n"/>
      <c r="K338">
        <f>IF(B338="","",SUMIFS(Videos!$F:$F,Videos!$B:$B,B338,Videos!$E:$E,A338))</f>
        <v/>
      </c>
      <c r="L338" s="3">
        <f>IF(OR(K338="",K338=0),"",(D338+E338)/K338*1000)</f>
        <v/>
      </c>
      <c r="M338" s="10">
        <f>IF(OR(B338="",D338+E338=0),"",G338/(D338+E338))</f>
        <v/>
      </c>
      <c r="N338" s="3">
        <f>IF(OR(K338="",K338=0),"",G338/K338*10000)</f>
        <v/>
      </c>
    </row>
    <row r="339">
      <c r="A339" s="9" t="n"/>
      <c r="B339" s="8" t="n"/>
      <c r="C339">
        <f>IF(B339="","",IFERROR(VLOOKUP(B339,Accounts!$A:$D,4,FALSE),""))</f>
        <v/>
      </c>
      <c r="D339" s="8" t="n"/>
      <c r="E339" s="8" t="n"/>
      <c r="F339" s="8" t="n"/>
      <c r="G339" s="8" t="n"/>
      <c r="H339" s="8" t="n"/>
      <c r="I339" s="8" t="n"/>
      <c r="J339" s="8" t="n"/>
      <c r="K339">
        <f>IF(B339="","",SUMIFS(Videos!$F:$F,Videos!$B:$B,B339,Videos!$E:$E,A339))</f>
        <v/>
      </c>
      <c r="L339" s="3">
        <f>IF(OR(K339="",K339=0),"",(D339+E339)/K339*1000)</f>
        <v/>
      </c>
      <c r="M339" s="10">
        <f>IF(OR(B339="",D339+E339=0),"",G339/(D339+E339))</f>
        <v/>
      </c>
      <c r="N339" s="3">
        <f>IF(OR(K339="",K339=0),"",G339/K339*10000)</f>
        <v/>
      </c>
    </row>
    <row r="340">
      <c r="A340" s="9" t="n"/>
      <c r="B340" s="8" t="n"/>
      <c r="C340">
        <f>IF(B340="","",IFERROR(VLOOKUP(B340,Accounts!$A:$D,4,FALSE),""))</f>
        <v/>
      </c>
      <c r="D340" s="8" t="n"/>
      <c r="E340" s="8" t="n"/>
      <c r="F340" s="8" t="n"/>
      <c r="G340" s="8" t="n"/>
      <c r="H340" s="8" t="n"/>
      <c r="I340" s="8" t="n"/>
      <c r="J340" s="8" t="n"/>
      <c r="K340">
        <f>IF(B340="","",SUMIFS(Videos!$F:$F,Videos!$B:$B,B340,Videos!$E:$E,A340))</f>
        <v/>
      </c>
      <c r="L340" s="3">
        <f>IF(OR(K340="",K340=0),"",(D340+E340)/K340*1000)</f>
        <v/>
      </c>
      <c r="M340" s="10">
        <f>IF(OR(B340="",D340+E340=0),"",G340/(D340+E340))</f>
        <v/>
      </c>
      <c r="N340" s="3">
        <f>IF(OR(K340="",K340=0),"",G340/K340*10000)</f>
        <v/>
      </c>
    </row>
    <row r="341">
      <c r="A341" s="9" t="n"/>
      <c r="B341" s="8" t="n"/>
      <c r="C341">
        <f>IF(B341="","",IFERROR(VLOOKUP(B341,Accounts!$A:$D,4,FALSE),""))</f>
        <v/>
      </c>
      <c r="D341" s="8" t="n"/>
      <c r="E341" s="8" t="n"/>
      <c r="F341" s="8" t="n"/>
      <c r="G341" s="8" t="n"/>
      <c r="H341" s="8" t="n"/>
      <c r="I341" s="8" t="n"/>
      <c r="J341" s="8" t="n"/>
      <c r="K341">
        <f>IF(B341="","",SUMIFS(Videos!$F:$F,Videos!$B:$B,B341,Videos!$E:$E,A341))</f>
        <v/>
      </c>
      <c r="L341" s="3">
        <f>IF(OR(K341="",K341=0),"",(D341+E341)/K341*1000)</f>
        <v/>
      </c>
      <c r="M341" s="10">
        <f>IF(OR(B341="",D341+E341=0),"",G341/(D341+E341))</f>
        <v/>
      </c>
      <c r="N341" s="3">
        <f>IF(OR(K341="",K341=0),"",G341/K341*10000)</f>
        <v/>
      </c>
    </row>
    <row r="342">
      <c r="A342" s="9" t="n"/>
      <c r="B342" s="8" t="n"/>
      <c r="C342">
        <f>IF(B342="","",IFERROR(VLOOKUP(B342,Accounts!$A:$D,4,FALSE),""))</f>
        <v/>
      </c>
      <c r="D342" s="8" t="n"/>
      <c r="E342" s="8" t="n"/>
      <c r="F342" s="8" t="n"/>
      <c r="G342" s="8" t="n"/>
      <c r="H342" s="8" t="n"/>
      <c r="I342" s="8" t="n"/>
      <c r="J342" s="8" t="n"/>
      <c r="K342">
        <f>IF(B342="","",SUMIFS(Videos!$F:$F,Videos!$B:$B,B342,Videos!$E:$E,A342))</f>
        <v/>
      </c>
      <c r="L342" s="3">
        <f>IF(OR(K342="",K342=0),"",(D342+E342)/K342*1000)</f>
        <v/>
      </c>
      <c r="M342" s="10">
        <f>IF(OR(B342="",D342+E342=0),"",G342/(D342+E342))</f>
        <v/>
      </c>
      <c r="N342" s="3">
        <f>IF(OR(K342="",K342=0),"",G342/K342*10000)</f>
        <v/>
      </c>
    </row>
    <row r="343">
      <c r="A343" s="9" t="n"/>
      <c r="B343" s="8" t="n"/>
      <c r="C343">
        <f>IF(B343="","",IFERROR(VLOOKUP(B343,Accounts!$A:$D,4,FALSE),""))</f>
        <v/>
      </c>
      <c r="D343" s="8" t="n"/>
      <c r="E343" s="8" t="n"/>
      <c r="F343" s="8" t="n"/>
      <c r="G343" s="8" t="n"/>
      <c r="H343" s="8" t="n"/>
      <c r="I343" s="8" t="n"/>
      <c r="J343" s="8" t="n"/>
      <c r="K343">
        <f>IF(B343="","",SUMIFS(Videos!$F:$F,Videos!$B:$B,B343,Videos!$E:$E,A343))</f>
        <v/>
      </c>
      <c r="L343" s="3">
        <f>IF(OR(K343="",K343=0),"",(D343+E343)/K343*1000)</f>
        <v/>
      </c>
      <c r="M343" s="10">
        <f>IF(OR(B343="",D343+E343=0),"",G343/(D343+E343))</f>
        <v/>
      </c>
      <c r="N343" s="3">
        <f>IF(OR(K343="",K343=0),"",G343/K343*10000)</f>
        <v/>
      </c>
    </row>
    <row r="344">
      <c r="A344" s="9" t="n"/>
      <c r="B344" s="8" t="n"/>
      <c r="C344">
        <f>IF(B344="","",IFERROR(VLOOKUP(B344,Accounts!$A:$D,4,FALSE),""))</f>
        <v/>
      </c>
      <c r="D344" s="8" t="n"/>
      <c r="E344" s="8" t="n"/>
      <c r="F344" s="8" t="n"/>
      <c r="G344" s="8" t="n"/>
      <c r="H344" s="8" t="n"/>
      <c r="I344" s="8" t="n"/>
      <c r="J344" s="8" t="n"/>
      <c r="K344">
        <f>IF(B344="","",SUMIFS(Videos!$F:$F,Videos!$B:$B,B344,Videos!$E:$E,A344))</f>
        <v/>
      </c>
      <c r="L344" s="3">
        <f>IF(OR(K344="",K344=0),"",(D344+E344)/K344*1000)</f>
        <v/>
      </c>
      <c r="M344" s="10">
        <f>IF(OR(B344="",D344+E344=0),"",G344/(D344+E344))</f>
        <v/>
      </c>
      <c r="N344" s="3">
        <f>IF(OR(K344="",K344=0),"",G344/K344*10000)</f>
        <v/>
      </c>
    </row>
    <row r="345">
      <c r="A345" s="9" t="n"/>
      <c r="B345" s="8" t="n"/>
      <c r="C345">
        <f>IF(B345="","",IFERROR(VLOOKUP(B345,Accounts!$A:$D,4,FALSE),""))</f>
        <v/>
      </c>
      <c r="D345" s="8" t="n"/>
      <c r="E345" s="8" t="n"/>
      <c r="F345" s="8" t="n"/>
      <c r="G345" s="8" t="n"/>
      <c r="H345" s="8" t="n"/>
      <c r="I345" s="8" t="n"/>
      <c r="J345" s="8" t="n"/>
      <c r="K345">
        <f>IF(B345="","",SUMIFS(Videos!$F:$F,Videos!$B:$B,B345,Videos!$E:$E,A345))</f>
        <v/>
      </c>
      <c r="L345" s="3">
        <f>IF(OR(K345="",K345=0),"",(D345+E345)/K345*1000)</f>
        <v/>
      </c>
      <c r="M345" s="10">
        <f>IF(OR(B345="",D345+E345=0),"",G345/(D345+E345))</f>
        <v/>
      </c>
      <c r="N345" s="3">
        <f>IF(OR(K345="",K345=0),"",G345/K345*10000)</f>
        <v/>
      </c>
    </row>
    <row r="346">
      <c r="A346" s="9" t="n"/>
      <c r="B346" s="8" t="n"/>
      <c r="C346">
        <f>IF(B346="","",IFERROR(VLOOKUP(B346,Accounts!$A:$D,4,FALSE),""))</f>
        <v/>
      </c>
      <c r="D346" s="8" t="n"/>
      <c r="E346" s="8" t="n"/>
      <c r="F346" s="8" t="n"/>
      <c r="G346" s="8" t="n"/>
      <c r="H346" s="8" t="n"/>
      <c r="I346" s="8" t="n"/>
      <c r="J346" s="8" t="n"/>
      <c r="K346">
        <f>IF(B346="","",SUMIFS(Videos!$F:$F,Videos!$B:$B,B346,Videos!$E:$E,A346))</f>
        <v/>
      </c>
      <c r="L346" s="3">
        <f>IF(OR(K346="",K346=0),"",(D346+E346)/K346*1000)</f>
        <v/>
      </c>
      <c r="M346" s="10">
        <f>IF(OR(B346="",D346+E346=0),"",G346/(D346+E346))</f>
        <v/>
      </c>
      <c r="N346" s="3">
        <f>IF(OR(K346="",K346=0),"",G346/K346*10000)</f>
        <v/>
      </c>
    </row>
    <row r="347">
      <c r="A347" s="9" t="n"/>
      <c r="B347" s="8" t="n"/>
      <c r="C347">
        <f>IF(B347="","",IFERROR(VLOOKUP(B347,Accounts!$A:$D,4,FALSE),""))</f>
        <v/>
      </c>
      <c r="D347" s="8" t="n"/>
      <c r="E347" s="8" t="n"/>
      <c r="F347" s="8" t="n"/>
      <c r="G347" s="8" t="n"/>
      <c r="H347" s="8" t="n"/>
      <c r="I347" s="8" t="n"/>
      <c r="J347" s="8" t="n"/>
      <c r="K347">
        <f>IF(B347="","",SUMIFS(Videos!$F:$F,Videos!$B:$B,B347,Videos!$E:$E,A347))</f>
        <v/>
      </c>
      <c r="L347" s="3">
        <f>IF(OR(K347="",K347=0),"",(D347+E347)/K347*1000)</f>
        <v/>
      </c>
      <c r="M347" s="10">
        <f>IF(OR(B347="",D347+E347=0),"",G347/(D347+E347))</f>
        <v/>
      </c>
      <c r="N347" s="3">
        <f>IF(OR(K347="",K347=0),"",G347/K347*10000)</f>
        <v/>
      </c>
    </row>
    <row r="348">
      <c r="A348" s="9" t="n"/>
      <c r="B348" s="8" t="n"/>
      <c r="C348">
        <f>IF(B348="","",IFERROR(VLOOKUP(B348,Accounts!$A:$D,4,FALSE),""))</f>
        <v/>
      </c>
      <c r="D348" s="8" t="n"/>
      <c r="E348" s="8" t="n"/>
      <c r="F348" s="8" t="n"/>
      <c r="G348" s="8" t="n"/>
      <c r="H348" s="8" t="n"/>
      <c r="I348" s="8" t="n"/>
      <c r="J348" s="8" t="n"/>
      <c r="K348">
        <f>IF(B348="","",SUMIFS(Videos!$F:$F,Videos!$B:$B,B348,Videos!$E:$E,A348))</f>
        <v/>
      </c>
      <c r="L348" s="3">
        <f>IF(OR(K348="",K348=0),"",(D348+E348)/K348*1000)</f>
        <v/>
      </c>
      <c r="M348" s="10">
        <f>IF(OR(B348="",D348+E348=0),"",G348/(D348+E348))</f>
        <v/>
      </c>
      <c r="N348" s="3">
        <f>IF(OR(K348="",K348=0),"",G348/K348*10000)</f>
        <v/>
      </c>
    </row>
    <row r="349">
      <c r="A349" s="9" t="n"/>
      <c r="B349" s="8" t="n"/>
      <c r="C349">
        <f>IF(B349="","",IFERROR(VLOOKUP(B349,Accounts!$A:$D,4,FALSE),""))</f>
        <v/>
      </c>
      <c r="D349" s="8" t="n"/>
      <c r="E349" s="8" t="n"/>
      <c r="F349" s="8" t="n"/>
      <c r="G349" s="8" t="n"/>
      <c r="H349" s="8" t="n"/>
      <c r="I349" s="8" t="n"/>
      <c r="J349" s="8" t="n"/>
      <c r="K349">
        <f>IF(B349="","",SUMIFS(Videos!$F:$F,Videos!$B:$B,B349,Videos!$E:$E,A349))</f>
        <v/>
      </c>
      <c r="L349" s="3">
        <f>IF(OR(K349="",K349=0),"",(D349+E349)/K349*1000)</f>
        <v/>
      </c>
      <c r="M349" s="10">
        <f>IF(OR(B349="",D349+E349=0),"",G349/(D349+E349))</f>
        <v/>
      </c>
      <c r="N349" s="3">
        <f>IF(OR(K349="",K349=0),"",G349/K349*10000)</f>
        <v/>
      </c>
    </row>
    <row r="350">
      <c r="A350" s="9" t="n"/>
      <c r="B350" s="8" t="n"/>
      <c r="C350">
        <f>IF(B350="","",IFERROR(VLOOKUP(B350,Accounts!$A:$D,4,FALSE),""))</f>
        <v/>
      </c>
      <c r="D350" s="8" t="n"/>
      <c r="E350" s="8" t="n"/>
      <c r="F350" s="8" t="n"/>
      <c r="G350" s="8" t="n"/>
      <c r="H350" s="8" t="n"/>
      <c r="I350" s="8" t="n"/>
      <c r="J350" s="8" t="n"/>
      <c r="K350">
        <f>IF(B350="","",SUMIFS(Videos!$F:$F,Videos!$B:$B,B350,Videos!$E:$E,A350))</f>
        <v/>
      </c>
      <c r="L350" s="3">
        <f>IF(OR(K350="",K350=0),"",(D350+E350)/K350*1000)</f>
        <v/>
      </c>
      <c r="M350" s="10">
        <f>IF(OR(B350="",D350+E350=0),"",G350/(D350+E350))</f>
        <v/>
      </c>
      <c r="N350" s="3">
        <f>IF(OR(K350="",K350=0),"",G350/K350*10000)</f>
        <v/>
      </c>
    </row>
    <row r="351">
      <c r="A351" s="9" t="n"/>
      <c r="B351" s="8" t="n"/>
      <c r="C351">
        <f>IF(B351="","",IFERROR(VLOOKUP(B351,Accounts!$A:$D,4,FALSE),""))</f>
        <v/>
      </c>
      <c r="D351" s="8" t="n"/>
      <c r="E351" s="8" t="n"/>
      <c r="F351" s="8" t="n"/>
      <c r="G351" s="8" t="n"/>
      <c r="H351" s="8" t="n"/>
      <c r="I351" s="8" t="n"/>
      <c r="J351" s="8" t="n"/>
      <c r="K351">
        <f>IF(B351="","",SUMIFS(Videos!$F:$F,Videos!$B:$B,B351,Videos!$E:$E,A351))</f>
        <v/>
      </c>
      <c r="L351" s="3">
        <f>IF(OR(K351="",K351=0),"",(D351+E351)/K351*1000)</f>
        <v/>
      </c>
      <c r="M351" s="10">
        <f>IF(OR(B351="",D351+E351=0),"",G351/(D351+E351))</f>
        <v/>
      </c>
      <c r="N351" s="3">
        <f>IF(OR(K351="",K351=0),"",G351/K351*10000)</f>
        <v/>
      </c>
    </row>
    <row r="352">
      <c r="A352" s="9" t="n"/>
      <c r="B352" s="8" t="n"/>
      <c r="C352">
        <f>IF(B352="","",IFERROR(VLOOKUP(B352,Accounts!$A:$D,4,FALSE),""))</f>
        <v/>
      </c>
      <c r="D352" s="8" t="n"/>
      <c r="E352" s="8" t="n"/>
      <c r="F352" s="8" t="n"/>
      <c r="G352" s="8" t="n"/>
      <c r="H352" s="8" t="n"/>
      <c r="I352" s="8" t="n"/>
      <c r="J352" s="8" t="n"/>
      <c r="K352">
        <f>IF(B352="","",SUMIFS(Videos!$F:$F,Videos!$B:$B,B352,Videos!$E:$E,A352))</f>
        <v/>
      </c>
      <c r="L352" s="3">
        <f>IF(OR(K352="",K352=0),"",(D352+E352)/K352*1000)</f>
        <v/>
      </c>
      <c r="M352" s="10">
        <f>IF(OR(B352="",D352+E352=0),"",G352/(D352+E352))</f>
        <v/>
      </c>
      <c r="N352" s="3">
        <f>IF(OR(K352="",K352=0),"",G352/K352*10000)</f>
        <v/>
      </c>
    </row>
    <row r="353">
      <c r="A353" s="9" t="n"/>
      <c r="B353" s="8" t="n"/>
      <c r="C353">
        <f>IF(B353="","",IFERROR(VLOOKUP(B353,Accounts!$A:$D,4,FALSE),""))</f>
        <v/>
      </c>
      <c r="D353" s="8" t="n"/>
      <c r="E353" s="8" t="n"/>
      <c r="F353" s="8" t="n"/>
      <c r="G353" s="8" t="n"/>
      <c r="H353" s="8" t="n"/>
      <c r="I353" s="8" t="n"/>
      <c r="J353" s="8" t="n"/>
      <c r="K353">
        <f>IF(B353="","",SUMIFS(Videos!$F:$F,Videos!$B:$B,B353,Videos!$E:$E,A353))</f>
        <v/>
      </c>
      <c r="L353" s="3">
        <f>IF(OR(K353="",K353=0),"",(D353+E353)/K353*1000)</f>
        <v/>
      </c>
      <c r="M353" s="10">
        <f>IF(OR(B353="",D353+E353=0),"",G353/(D353+E353))</f>
        <v/>
      </c>
      <c r="N353" s="3">
        <f>IF(OR(K353="",K353=0),"",G353/K353*10000)</f>
        <v/>
      </c>
    </row>
    <row r="354">
      <c r="A354" s="9" t="n"/>
      <c r="B354" s="8" t="n"/>
      <c r="C354">
        <f>IF(B354="","",IFERROR(VLOOKUP(B354,Accounts!$A:$D,4,FALSE),""))</f>
        <v/>
      </c>
      <c r="D354" s="8" t="n"/>
      <c r="E354" s="8" t="n"/>
      <c r="F354" s="8" t="n"/>
      <c r="G354" s="8" t="n"/>
      <c r="H354" s="8" t="n"/>
      <c r="I354" s="8" t="n"/>
      <c r="J354" s="8" t="n"/>
      <c r="K354">
        <f>IF(B354="","",SUMIFS(Videos!$F:$F,Videos!$B:$B,B354,Videos!$E:$E,A354))</f>
        <v/>
      </c>
      <c r="L354" s="3">
        <f>IF(OR(K354="",K354=0),"",(D354+E354)/K354*1000)</f>
        <v/>
      </c>
      <c r="M354" s="10">
        <f>IF(OR(B354="",D354+E354=0),"",G354/(D354+E354))</f>
        <v/>
      </c>
      <c r="N354" s="3">
        <f>IF(OR(K354="",K354=0),"",G354/K354*10000)</f>
        <v/>
      </c>
    </row>
    <row r="355">
      <c r="A355" s="9" t="n"/>
      <c r="B355" s="8" t="n"/>
      <c r="C355">
        <f>IF(B355="","",IFERROR(VLOOKUP(B355,Accounts!$A:$D,4,FALSE),""))</f>
        <v/>
      </c>
      <c r="D355" s="8" t="n"/>
      <c r="E355" s="8" t="n"/>
      <c r="F355" s="8" t="n"/>
      <c r="G355" s="8" t="n"/>
      <c r="H355" s="8" t="n"/>
      <c r="I355" s="8" t="n"/>
      <c r="J355" s="8" t="n"/>
      <c r="K355">
        <f>IF(B355="","",SUMIFS(Videos!$F:$F,Videos!$B:$B,B355,Videos!$E:$E,A355))</f>
        <v/>
      </c>
      <c r="L355" s="3">
        <f>IF(OR(K355="",K355=0),"",(D355+E355)/K355*1000)</f>
        <v/>
      </c>
      <c r="M355" s="10">
        <f>IF(OR(B355="",D355+E355=0),"",G355/(D355+E355))</f>
        <v/>
      </c>
      <c r="N355" s="3">
        <f>IF(OR(K355="",K355=0),"",G355/K355*10000)</f>
        <v/>
      </c>
    </row>
    <row r="356">
      <c r="A356" s="9" t="n"/>
      <c r="B356" s="8" t="n"/>
      <c r="C356">
        <f>IF(B356="","",IFERROR(VLOOKUP(B356,Accounts!$A:$D,4,FALSE),""))</f>
        <v/>
      </c>
      <c r="D356" s="8" t="n"/>
      <c r="E356" s="8" t="n"/>
      <c r="F356" s="8" t="n"/>
      <c r="G356" s="8" t="n"/>
      <c r="H356" s="8" t="n"/>
      <c r="I356" s="8" t="n"/>
      <c r="J356" s="8" t="n"/>
      <c r="K356">
        <f>IF(B356="","",SUMIFS(Videos!$F:$F,Videos!$B:$B,B356,Videos!$E:$E,A356))</f>
        <v/>
      </c>
      <c r="L356" s="3">
        <f>IF(OR(K356="",K356=0),"",(D356+E356)/K356*1000)</f>
        <v/>
      </c>
      <c r="M356" s="10">
        <f>IF(OR(B356="",D356+E356=0),"",G356/(D356+E356))</f>
        <v/>
      </c>
      <c r="N356" s="3">
        <f>IF(OR(K356="",K356=0),"",G356/K356*10000)</f>
        <v/>
      </c>
    </row>
    <row r="357">
      <c r="A357" s="9" t="n"/>
      <c r="B357" s="8" t="n"/>
      <c r="C357">
        <f>IF(B357="","",IFERROR(VLOOKUP(B357,Accounts!$A:$D,4,FALSE),""))</f>
        <v/>
      </c>
      <c r="D357" s="8" t="n"/>
      <c r="E357" s="8" t="n"/>
      <c r="F357" s="8" t="n"/>
      <c r="G357" s="8" t="n"/>
      <c r="H357" s="8" t="n"/>
      <c r="I357" s="8" t="n"/>
      <c r="J357" s="8" t="n"/>
      <c r="K357">
        <f>IF(B357="","",SUMIFS(Videos!$F:$F,Videos!$B:$B,B357,Videos!$E:$E,A357))</f>
        <v/>
      </c>
      <c r="L357" s="3">
        <f>IF(OR(K357="",K357=0),"",(D357+E357)/K357*1000)</f>
        <v/>
      </c>
      <c r="M357" s="10">
        <f>IF(OR(B357="",D357+E357=0),"",G357/(D357+E357))</f>
        <v/>
      </c>
      <c r="N357" s="3">
        <f>IF(OR(K357="",K357=0),"",G357/K357*10000)</f>
        <v/>
      </c>
    </row>
    <row r="358">
      <c r="A358" s="9" t="n"/>
      <c r="B358" s="8" t="n"/>
      <c r="C358">
        <f>IF(B358="","",IFERROR(VLOOKUP(B358,Accounts!$A:$D,4,FALSE),""))</f>
        <v/>
      </c>
      <c r="D358" s="8" t="n"/>
      <c r="E358" s="8" t="n"/>
      <c r="F358" s="8" t="n"/>
      <c r="G358" s="8" t="n"/>
      <c r="H358" s="8" t="n"/>
      <c r="I358" s="8" t="n"/>
      <c r="J358" s="8" t="n"/>
      <c r="K358">
        <f>IF(B358="","",SUMIFS(Videos!$F:$F,Videos!$B:$B,B358,Videos!$E:$E,A358))</f>
        <v/>
      </c>
      <c r="L358" s="3">
        <f>IF(OR(K358="",K358=0),"",(D358+E358)/K358*1000)</f>
        <v/>
      </c>
      <c r="M358" s="10">
        <f>IF(OR(B358="",D358+E358=0),"",G358/(D358+E358))</f>
        <v/>
      </c>
      <c r="N358" s="3">
        <f>IF(OR(K358="",K358=0),"",G358/K358*10000)</f>
        <v/>
      </c>
    </row>
    <row r="359">
      <c r="A359" s="9" t="n"/>
      <c r="B359" s="8" t="n"/>
      <c r="C359">
        <f>IF(B359="","",IFERROR(VLOOKUP(B359,Accounts!$A:$D,4,FALSE),""))</f>
        <v/>
      </c>
      <c r="D359" s="8" t="n"/>
      <c r="E359" s="8" t="n"/>
      <c r="F359" s="8" t="n"/>
      <c r="G359" s="8" t="n"/>
      <c r="H359" s="8" t="n"/>
      <c r="I359" s="8" t="n"/>
      <c r="J359" s="8" t="n"/>
      <c r="K359">
        <f>IF(B359="","",SUMIFS(Videos!$F:$F,Videos!$B:$B,B359,Videos!$E:$E,A359))</f>
        <v/>
      </c>
      <c r="L359" s="3">
        <f>IF(OR(K359="",K359=0),"",(D359+E359)/K359*1000)</f>
        <v/>
      </c>
      <c r="M359" s="10">
        <f>IF(OR(B359="",D359+E359=0),"",G359/(D359+E359))</f>
        <v/>
      </c>
      <c r="N359" s="3">
        <f>IF(OR(K359="",K359=0),"",G359/K359*10000)</f>
        <v/>
      </c>
    </row>
    <row r="360">
      <c r="A360" s="9" t="n"/>
      <c r="B360" s="8" t="n"/>
      <c r="C360">
        <f>IF(B360="","",IFERROR(VLOOKUP(B360,Accounts!$A:$D,4,FALSE),""))</f>
        <v/>
      </c>
      <c r="D360" s="8" t="n"/>
      <c r="E360" s="8" t="n"/>
      <c r="F360" s="8" t="n"/>
      <c r="G360" s="8" t="n"/>
      <c r="H360" s="8" t="n"/>
      <c r="I360" s="8" t="n"/>
      <c r="J360" s="8" t="n"/>
      <c r="K360">
        <f>IF(B360="","",SUMIFS(Videos!$F:$F,Videos!$B:$B,B360,Videos!$E:$E,A360))</f>
        <v/>
      </c>
      <c r="L360" s="3">
        <f>IF(OR(K360="",K360=0),"",(D360+E360)/K360*1000)</f>
        <v/>
      </c>
      <c r="M360" s="10">
        <f>IF(OR(B360="",D360+E360=0),"",G360/(D360+E360))</f>
        <v/>
      </c>
      <c r="N360" s="3">
        <f>IF(OR(K360="",K360=0),"",G360/K360*10000)</f>
        <v/>
      </c>
    </row>
    <row r="361">
      <c r="A361" s="9" t="n"/>
      <c r="B361" s="8" t="n"/>
      <c r="C361">
        <f>IF(B361="","",IFERROR(VLOOKUP(B361,Accounts!$A:$D,4,FALSE),""))</f>
        <v/>
      </c>
      <c r="D361" s="8" t="n"/>
      <c r="E361" s="8" t="n"/>
      <c r="F361" s="8" t="n"/>
      <c r="G361" s="8" t="n"/>
      <c r="H361" s="8" t="n"/>
      <c r="I361" s="8" t="n"/>
      <c r="J361" s="8" t="n"/>
      <c r="K361">
        <f>IF(B361="","",SUMIFS(Videos!$F:$F,Videos!$B:$B,B361,Videos!$E:$E,A361))</f>
        <v/>
      </c>
      <c r="L361" s="3">
        <f>IF(OR(K361="",K361=0),"",(D361+E361)/K361*1000)</f>
        <v/>
      </c>
      <c r="M361" s="10">
        <f>IF(OR(B361="",D361+E361=0),"",G361/(D361+E361))</f>
        <v/>
      </c>
      <c r="N361" s="3">
        <f>IF(OR(K361="",K361=0),"",G361/K361*10000)</f>
        <v/>
      </c>
    </row>
    <row r="362">
      <c r="A362" s="9" t="n"/>
      <c r="B362" s="8" t="n"/>
      <c r="C362">
        <f>IF(B362="","",IFERROR(VLOOKUP(B362,Accounts!$A:$D,4,FALSE),""))</f>
        <v/>
      </c>
      <c r="D362" s="8" t="n"/>
      <c r="E362" s="8" t="n"/>
      <c r="F362" s="8" t="n"/>
      <c r="G362" s="8" t="n"/>
      <c r="H362" s="8" t="n"/>
      <c r="I362" s="8" t="n"/>
      <c r="J362" s="8" t="n"/>
      <c r="K362">
        <f>IF(B362="","",SUMIFS(Videos!$F:$F,Videos!$B:$B,B362,Videos!$E:$E,A362))</f>
        <v/>
      </c>
      <c r="L362" s="3">
        <f>IF(OR(K362="",K362=0),"",(D362+E362)/K362*1000)</f>
        <v/>
      </c>
      <c r="M362" s="10">
        <f>IF(OR(B362="",D362+E362=0),"",G362/(D362+E362))</f>
        <v/>
      </c>
      <c r="N362" s="3">
        <f>IF(OR(K362="",K362=0),"",G362/K362*10000)</f>
        <v/>
      </c>
    </row>
    <row r="363">
      <c r="A363" s="9" t="n"/>
      <c r="B363" s="8" t="n"/>
      <c r="C363">
        <f>IF(B363="","",IFERROR(VLOOKUP(B363,Accounts!$A:$D,4,FALSE),""))</f>
        <v/>
      </c>
      <c r="D363" s="8" t="n"/>
      <c r="E363" s="8" t="n"/>
      <c r="F363" s="8" t="n"/>
      <c r="G363" s="8" t="n"/>
      <c r="H363" s="8" t="n"/>
      <c r="I363" s="8" t="n"/>
      <c r="J363" s="8" t="n"/>
      <c r="K363">
        <f>IF(B363="","",SUMIFS(Videos!$F:$F,Videos!$B:$B,B363,Videos!$E:$E,A363))</f>
        <v/>
      </c>
      <c r="L363" s="3">
        <f>IF(OR(K363="",K363=0),"",(D363+E363)/K363*1000)</f>
        <v/>
      </c>
      <c r="M363" s="10">
        <f>IF(OR(B363="",D363+E363=0),"",G363/(D363+E363))</f>
        <v/>
      </c>
      <c r="N363" s="3">
        <f>IF(OR(K363="",K363=0),"",G363/K363*10000)</f>
        <v/>
      </c>
    </row>
    <row r="364">
      <c r="A364" s="9" t="n"/>
      <c r="B364" s="8" t="n"/>
      <c r="C364">
        <f>IF(B364="","",IFERROR(VLOOKUP(B364,Accounts!$A:$D,4,FALSE),""))</f>
        <v/>
      </c>
      <c r="D364" s="8" t="n"/>
      <c r="E364" s="8" t="n"/>
      <c r="F364" s="8" t="n"/>
      <c r="G364" s="8" t="n"/>
      <c r="H364" s="8" t="n"/>
      <c r="I364" s="8" t="n"/>
      <c r="J364" s="8" t="n"/>
      <c r="K364">
        <f>IF(B364="","",SUMIFS(Videos!$F:$F,Videos!$B:$B,B364,Videos!$E:$E,A364))</f>
        <v/>
      </c>
      <c r="L364" s="3">
        <f>IF(OR(K364="",K364=0),"",(D364+E364)/K364*1000)</f>
        <v/>
      </c>
      <c r="M364" s="10">
        <f>IF(OR(B364="",D364+E364=0),"",G364/(D364+E364))</f>
        <v/>
      </c>
      <c r="N364" s="3">
        <f>IF(OR(K364="",K364=0),"",G364/K364*10000)</f>
        <v/>
      </c>
    </row>
    <row r="365">
      <c r="A365" s="9" t="n"/>
      <c r="B365" s="8" t="n"/>
      <c r="C365">
        <f>IF(B365="","",IFERROR(VLOOKUP(B365,Accounts!$A:$D,4,FALSE),""))</f>
        <v/>
      </c>
      <c r="D365" s="8" t="n"/>
      <c r="E365" s="8" t="n"/>
      <c r="F365" s="8" t="n"/>
      <c r="G365" s="8" t="n"/>
      <c r="H365" s="8" t="n"/>
      <c r="I365" s="8" t="n"/>
      <c r="J365" s="8" t="n"/>
      <c r="K365">
        <f>IF(B365="","",SUMIFS(Videos!$F:$F,Videos!$B:$B,B365,Videos!$E:$E,A365))</f>
        <v/>
      </c>
      <c r="L365" s="3">
        <f>IF(OR(K365="",K365=0),"",(D365+E365)/K365*1000)</f>
        <v/>
      </c>
      <c r="M365" s="10">
        <f>IF(OR(B365="",D365+E365=0),"",G365/(D365+E365))</f>
        <v/>
      </c>
      <c r="N365" s="3">
        <f>IF(OR(K365="",K365=0),"",G365/K365*10000)</f>
        <v/>
      </c>
    </row>
    <row r="366">
      <c r="A366" s="9" t="n"/>
      <c r="B366" s="8" t="n"/>
      <c r="C366">
        <f>IF(B366="","",IFERROR(VLOOKUP(B366,Accounts!$A:$D,4,FALSE),""))</f>
        <v/>
      </c>
      <c r="D366" s="8" t="n"/>
      <c r="E366" s="8" t="n"/>
      <c r="F366" s="8" t="n"/>
      <c r="G366" s="8" t="n"/>
      <c r="H366" s="8" t="n"/>
      <c r="I366" s="8" t="n"/>
      <c r="J366" s="8" t="n"/>
      <c r="K366">
        <f>IF(B366="","",SUMIFS(Videos!$F:$F,Videos!$B:$B,B366,Videos!$E:$E,A366))</f>
        <v/>
      </c>
      <c r="L366" s="3">
        <f>IF(OR(K366="",K366=0),"",(D366+E366)/K366*1000)</f>
        <v/>
      </c>
      <c r="M366" s="10">
        <f>IF(OR(B366="",D366+E366=0),"",G366/(D366+E366))</f>
        <v/>
      </c>
      <c r="N366" s="3">
        <f>IF(OR(K366="",K366=0),"",G366/K366*10000)</f>
        <v/>
      </c>
    </row>
    <row r="367">
      <c r="A367" s="9" t="n"/>
      <c r="B367" s="8" t="n"/>
      <c r="C367">
        <f>IF(B367="","",IFERROR(VLOOKUP(B367,Accounts!$A:$D,4,FALSE),""))</f>
        <v/>
      </c>
      <c r="D367" s="8" t="n"/>
      <c r="E367" s="8" t="n"/>
      <c r="F367" s="8" t="n"/>
      <c r="G367" s="8" t="n"/>
      <c r="H367" s="8" t="n"/>
      <c r="I367" s="8" t="n"/>
      <c r="J367" s="8" t="n"/>
      <c r="K367">
        <f>IF(B367="","",SUMIFS(Videos!$F:$F,Videos!$B:$B,B367,Videos!$E:$E,A367))</f>
        <v/>
      </c>
      <c r="L367" s="3">
        <f>IF(OR(K367="",K367=0),"",(D367+E367)/K367*1000)</f>
        <v/>
      </c>
      <c r="M367" s="10">
        <f>IF(OR(B367="",D367+E367=0),"",G367/(D367+E367))</f>
        <v/>
      </c>
      <c r="N367" s="3">
        <f>IF(OR(K367="",K367=0),"",G367/K367*10000)</f>
        <v/>
      </c>
    </row>
    <row r="368">
      <c r="A368" s="9" t="n"/>
      <c r="B368" s="8" t="n"/>
      <c r="C368">
        <f>IF(B368="","",IFERROR(VLOOKUP(B368,Accounts!$A:$D,4,FALSE),""))</f>
        <v/>
      </c>
      <c r="D368" s="8" t="n"/>
      <c r="E368" s="8" t="n"/>
      <c r="F368" s="8" t="n"/>
      <c r="G368" s="8" t="n"/>
      <c r="H368" s="8" t="n"/>
      <c r="I368" s="8" t="n"/>
      <c r="J368" s="8" t="n"/>
      <c r="K368">
        <f>IF(B368="","",SUMIFS(Videos!$F:$F,Videos!$B:$B,B368,Videos!$E:$E,A368))</f>
        <v/>
      </c>
      <c r="L368" s="3">
        <f>IF(OR(K368="",K368=0),"",(D368+E368)/K368*1000)</f>
        <v/>
      </c>
      <c r="M368" s="10">
        <f>IF(OR(B368="",D368+E368=0),"",G368/(D368+E368))</f>
        <v/>
      </c>
      <c r="N368" s="3">
        <f>IF(OR(K368="",K368=0),"",G368/K368*10000)</f>
        <v/>
      </c>
    </row>
    <row r="369">
      <c r="A369" s="9" t="n"/>
      <c r="B369" s="8" t="n"/>
      <c r="C369">
        <f>IF(B369="","",IFERROR(VLOOKUP(B369,Accounts!$A:$D,4,FALSE),""))</f>
        <v/>
      </c>
      <c r="D369" s="8" t="n"/>
      <c r="E369" s="8" t="n"/>
      <c r="F369" s="8" t="n"/>
      <c r="G369" s="8" t="n"/>
      <c r="H369" s="8" t="n"/>
      <c r="I369" s="8" t="n"/>
      <c r="J369" s="8" t="n"/>
      <c r="K369">
        <f>IF(B369="","",SUMIFS(Videos!$F:$F,Videos!$B:$B,B369,Videos!$E:$E,A369))</f>
        <v/>
      </c>
      <c r="L369" s="3">
        <f>IF(OR(K369="",K369=0),"",(D369+E369)/K369*1000)</f>
        <v/>
      </c>
      <c r="M369" s="10">
        <f>IF(OR(B369="",D369+E369=0),"",G369/(D369+E369))</f>
        <v/>
      </c>
      <c r="N369" s="3">
        <f>IF(OR(K369="",K369=0),"",G369/K369*10000)</f>
        <v/>
      </c>
    </row>
    <row r="370">
      <c r="A370" s="9" t="n"/>
      <c r="B370" s="8" t="n"/>
      <c r="C370">
        <f>IF(B370="","",IFERROR(VLOOKUP(B370,Accounts!$A:$D,4,FALSE),""))</f>
        <v/>
      </c>
      <c r="D370" s="8" t="n"/>
      <c r="E370" s="8" t="n"/>
      <c r="F370" s="8" t="n"/>
      <c r="G370" s="8" t="n"/>
      <c r="H370" s="8" t="n"/>
      <c r="I370" s="8" t="n"/>
      <c r="J370" s="8" t="n"/>
      <c r="K370">
        <f>IF(B370="","",SUMIFS(Videos!$F:$F,Videos!$B:$B,B370,Videos!$E:$E,A370))</f>
        <v/>
      </c>
      <c r="L370" s="3">
        <f>IF(OR(K370="",K370=0),"",(D370+E370)/K370*1000)</f>
        <v/>
      </c>
      <c r="M370" s="10">
        <f>IF(OR(B370="",D370+E370=0),"",G370/(D370+E370))</f>
        <v/>
      </c>
      <c r="N370" s="3">
        <f>IF(OR(K370="",K370=0),"",G370/K370*10000)</f>
        <v/>
      </c>
    </row>
    <row r="371">
      <c r="A371" s="9" t="n"/>
      <c r="B371" s="8" t="n"/>
      <c r="C371">
        <f>IF(B371="","",IFERROR(VLOOKUP(B371,Accounts!$A:$D,4,FALSE),""))</f>
        <v/>
      </c>
      <c r="D371" s="8" t="n"/>
      <c r="E371" s="8" t="n"/>
      <c r="F371" s="8" t="n"/>
      <c r="G371" s="8" t="n"/>
      <c r="H371" s="8" t="n"/>
      <c r="I371" s="8" t="n"/>
      <c r="J371" s="8" t="n"/>
      <c r="K371">
        <f>IF(B371="","",SUMIFS(Videos!$F:$F,Videos!$B:$B,B371,Videos!$E:$E,A371))</f>
        <v/>
      </c>
      <c r="L371" s="3">
        <f>IF(OR(K371="",K371=0),"",(D371+E371)/K371*1000)</f>
        <v/>
      </c>
      <c r="M371" s="10">
        <f>IF(OR(B371="",D371+E371=0),"",G371/(D371+E371))</f>
        <v/>
      </c>
      <c r="N371" s="3">
        <f>IF(OR(K371="",K371=0),"",G371/K371*10000)</f>
        <v/>
      </c>
    </row>
    <row r="372">
      <c r="A372" s="9" t="n"/>
      <c r="B372" s="8" t="n"/>
      <c r="C372">
        <f>IF(B372="","",IFERROR(VLOOKUP(B372,Accounts!$A:$D,4,FALSE),""))</f>
        <v/>
      </c>
      <c r="D372" s="8" t="n"/>
      <c r="E372" s="8" t="n"/>
      <c r="F372" s="8" t="n"/>
      <c r="G372" s="8" t="n"/>
      <c r="H372" s="8" t="n"/>
      <c r="I372" s="8" t="n"/>
      <c r="J372" s="8" t="n"/>
      <c r="K372">
        <f>IF(B372="","",SUMIFS(Videos!$F:$F,Videos!$B:$B,B372,Videos!$E:$E,A372))</f>
        <v/>
      </c>
      <c r="L372" s="3">
        <f>IF(OR(K372="",K372=0),"",(D372+E372)/K372*1000)</f>
        <v/>
      </c>
      <c r="M372" s="10">
        <f>IF(OR(B372="",D372+E372=0),"",G372/(D372+E372))</f>
        <v/>
      </c>
      <c r="N372" s="3">
        <f>IF(OR(K372="",K372=0),"",G372/K372*10000)</f>
        <v/>
      </c>
    </row>
    <row r="373">
      <c r="A373" s="9" t="n"/>
      <c r="B373" s="8" t="n"/>
      <c r="C373">
        <f>IF(B373="","",IFERROR(VLOOKUP(B373,Accounts!$A:$D,4,FALSE),""))</f>
        <v/>
      </c>
      <c r="D373" s="8" t="n"/>
      <c r="E373" s="8" t="n"/>
      <c r="F373" s="8" t="n"/>
      <c r="G373" s="8" t="n"/>
      <c r="H373" s="8" t="n"/>
      <c r="I373" s="8" t="n"/>
      <c r="J373" s="8" t="n"/>
      <c r="K373">
        <f>IF(B373="","",SUMIFS(Videos!$F:$F,Videos!$B:$B,B373,Videos!$E:$E,A373))</f>
        <v/>
      </c>
      <c r="L373" s="3">
        <f>IF(OR(K373="",K373=0),"",(D373+E373)/K373*1000)</f>
        <v/>
      </c>
      <c r="M373" s="10">
        <f>IF(OR(B373="",D373+E373=0),"",G373/(D373+E373))</f>
        <v/>
      </c>
      <c r="N373" s="3">
        <f>IF(OR(K373="",K373=0),"",G373/K373*10000)</f>
        <v/>
      </c>
    </row>
    <row r="374">
      <c r="A374" s="9" t="n"/>
      <c r="B374" s="8" t="n"/>
      <c r="C374">
        <f>IF(B374="","",IFERROR(VLOOKUP(B374,Accounts!$A:$D,4,FALSE),""))</f>
        <v/>
      </c>
      <c r="D374" s="8" t="n"/>
      <c r="E374" s="8" t="n"/>
      <c r="F374" s="8" t="n"/>
      <c r="G374" s="8" t="n"/>
      <c r="H374" s="8" t="n"/>
      <c r="I374" s="8" t="n"/>
      <c r="J374" s="8" t="n"/>
      <c r="K374">
        <f>IF(B374="","",SUMIFS(Videos!$F:$F,Videos!$B:$B,B374,Videos!$E:$E,A374))</f>
        <v/>
      </c>
      <c r="L374" s="3">
        <f>IF(OR(K374="",K374=0),"",(D374+E374)/K374*1000)</f>
        <v/>
      </c>
      <c r="M374" s="10">
        <f>IF(OR(B374="",D374+E374=0),"",G374/(D374+E374))</f>
        <v/>
      </c>
      <c r="N374" s="3">
        <f>IF(OR(K374="",K374=0),"",G374/K374*10000)</f>
        <v/>
      </c>
    </row>
    <row r="375">
      <c r="A375" s="9" t="n"/>
      <c r="B375" s="8" t="n"/>
      <c r="C375">
        <f>IF(B375="","",IFERROR(VLOOKUP(B375,Accounts!$A:$D,4,FALSE),""))</f>
        <v/>
      </c>
      <c r="D375" s="8" t="n"/>
      <c r="E375" s="8" t="n"/>
      <c r="F375" s="8" t="n"/>
      <c r="G375" s="8" t="n"/>
      <c r="H375" s="8" t="n"/>
      <c r="I375" s="8" t="n"/>
      <c r="J375" s="8" t="n"/>
      <c r="K375">
        <f>IF(B375="","",SUMIFS(Videos!$F:$F,Videos!$B:$B,B375,Videos!$E:$E,A375))</f>
        <v/>
      </c>
      <c r="L375" s="3">
        <f>IF(OR(K375="",K375=0),"",(D375+E375)/K375*1000)</f>
        <v/>
      </c>
      <c r="M375" s="10">
        <f>IF(OR(B375="",D375+E375=0),"",G375/(D375+E375))</f>
        <v/>
      </c>
      <c r="N375" s="3">
        <f>IF(OR(K375="",K375=0),"",G375/K375*10000)</f>
        <v/>
      </c>
    </row>
    <row r="376">
      <c r="A376" s="9" t="n"/>
      <c r="B376" s="8" t="n"/>
      <c r="C376">
        <f>IF(B376="","",IFERROR(VLOOKUP(B376,Accounts!$A:$D,4,FALSE),""))</f>
        <v/>
      </c>
      <c r="D376" s="8" t="n"/>
      <c r="E376" s="8" t="n"/>
      <c r="F376" s="8" t="n"/>
      <c r="G376" s="8" t="n"/>
      <c r="H376" s="8" t="n"/>
      <c r="I376" s="8" t="n"/>
      <c r="J376" s="8" t="n"/>
      <c r="K376">
        <f>IF(B376="","",SUMIFS(Videos!$F:$F,Videos!$B:$B,B376,Videos!$E:$E,A376))</f>
        <v/>
      </c>
      <c r="L376" s="3">
        <f>IF(OR(K376="",K376=0),"",(D376+E376)/K376*1000)</f>
        <v/>
      </c>
      <c r="M376" s="10">
        <f>IF(OR(B376="",D376+E376=0),"",G376/(D376+E376))</f>
        <v/>
      </c>
      <c r="N376" s="3">
        <f>IF(OR(K376="",K376=0),"",G376/K376*10000)</f>
        <v/>
      </c>
    </row>
    <row r="377">
      <c r="A377" s="9" t="n"/>
      <c r="B377" s="8" t="n"/>
      <c r="C377">
        <f>IF(B377="","",IFERROR(VLOOKUP(B377,Accounts!$A:$D,4,FALSE),""))</f>
        <v/>
      </c>
      <c r="D377" s="8" t="n"/>
      <c r="E377" s="8" t="n"/>
      <c r="F377" s="8" t="n"/>
      <c r="G377" s="8" t="n"/>
      <c r="H377" s="8" t="n"/>
      <c r="I377" s="8" t="n"/>
      <c r="J377" s="8" t="n"/>
      <c r="K377">
        <f>IF(B377="","",SUMIFS(Videos!$F:$F,Videos!$B:$B,B377,Videos!$E:$E,A377))</f>
        <v/>
      </c>
      <c r="L377" s="3">
        <f>IF(OR(K377="",K377=0),"",(D377+E377)/K377*1000)</f>
        <v/>
      </c>
      <c r="M377" s="10">
        <f>IF(OR(B377="",D377+E377=0),"",G377/(D377+E377))</f>
        <v/>
      </c>
      <c r="N377" s="3">
        <f>IF(OR(K377="",K377=0),"",G377/K377*10000)</f>
        <v/>
      </c>
    </row>
    <row r="378">
      <c r="A378" s="9" t="n"/>
      <c r="B378" s="8" t="n"/>
      <c r="C378">
        <f>IF(B378="","",IFERROR(VLOOKUP(B378,Accounts!$A:$D,4,FALSE),""))</f>
        <v/>
      </c>
      <c r="D378" s="8" t="n"/>
      <c r="E378" s="8" t="n"/>
      <c r="F378" s="8" t="n"/>
      <c r="G378" s="8" t="n"/>
      <c r="H378" s="8" t="n"/>
      <c r="I378" s="8" t="n"/>
      <c r="J378" s="8" t="n"/>
      <c r="K378">
        <f>IF(B378="","",SUMIFS(Videos!$F:$F,Videos!$B:$B,B378,Videos!$E:$E,A378))</f>
        <v/>
      </c>
      <c r="L378" s="3">
        <f>IF(OR(K378="",K378=0),"",(D378+E378)/K378*1000)</f>
        <v/>
      </c>
      <c r="M378" s="10">
        <f>IF(OR(B378="",D378+E378=0),"",G378/(D378+E378))</f>
        <v/>
      </c>
      <c r="N378" s="3">
        <f>IF(OR(K378="",K378=0),"",G378/K378*10000)</f>
        <v/>
      </c>
    </row>
    <row r="379">
      <c r="A379" s="9" t="n"/>
      <c r="B379" s="8" t="n"/>
      <c r="C379">
        <f>IF(B379="","",IFERROR(VLOOKUP(B379,Accounts!$A:$D,4,FALSE),""))</f>
        <v/>
      </c>
      <c r="D379" s="8" t="n"/>
      <c r="E379" s="8" t="n"/>
      <c r="F379" s="8" t="n"/>
      <c r="G379" s="8" t="n"/>
      <c r="H379" s="8" t="n"/>
      <c r="I379" s="8" t="n"/>
      <c r="J379" s="8" t="n"/>
      <c r="K379">
        <f>IF(B379="","",SUMIFS(Videos!$F:$F,Videos!$B:$B,B379,Videos!$E:$E,A379))</f>
        <v/>
      </c>
      <c r="L379" s="3">
        <f>IF(OR(K379="",K379=0),"",(D379+E379)/K379*1000)</f>
        <v/>
      </c>
      <c r="M379" s="10">
        <f>IF(OR(B379="",D379+E379=0),"",G379/(D379+E379))</f>
        <v/>
      </c>
      <c r="N379" s="3">
        <f>IF(OR(K379="",K379=0),"",G379/K379*10000)</f>
        <v/>
      </c>
    </row>
    <row r="380">
      <c r="A380" s="9" t="n"/>
      <c r="B380" s="8" t="n"/>
      <c r="C380">
        <f>IF(B380="","",IFERROR(VLOOKUP(B380,Accounts!$A:$D,4,FALSE),""))</f>
        <v/>
      </c>
      <c r="D380" s="8" t="n"/>
      <c r="E380" s="8" t="n"/>
      <c r="F380" s="8" t="n"/>
      <c r="G380" s="8" t="n"/>
      <c r="H380" s="8" t="n"/>
      <c r="I380" s="8" t="n"/>
      <c r="J380" s="8" t="n"/>
      <c r="K380">
        <f>IF(B380="","",SUMIFS(Videos!$F:$F,Videos!$B:$B,B380,Videos!$E:$E,A380))</f>
        <v/>
      </c>
      <c r="L380" s="3">
        <f>IF(OR(K380="",K380=0),"",(D380+E380)/K380*1000)</f>
        <v/>
      </c>
      <c r="M380" s="10">
        <f>IF(OR(B380="",D380+E380=0),"",G380/(D380+E380))</f>
        <v/>
      </c>
      <c r="N380" s="3">
        <f>IF(OR(K380="",K380=0),"",G380/K380*10000)</f>
        <v/>
      </c>
    </row>
    <row r="381">
      <c r="A381" s="9" t="n"/>
      <c r="B381" s="8" t="n"/>
      <c r="C381">
        <f>IF(B381="","",IFERROR(VLOOKUP(B381,Accounts!$A:$D,4,FALSE),""))</f>
        <v/>
      </c>
      <c r="D381" s="8" t="n"/>
      <c r="E381" s="8" t="n"/>
      <c r="F381" s="8" t="n"/>
      <c r="G381" s="8" t="n"/>
      <c r="H381" s="8" t="n"/>
      <c r="I381" s="8" t="n"/>
      <c r="J381" s="8" t="n"/>
      <c r="K381">
        <f>IF(B381="","",SUMIFS(Videos!$F:$F,Videos!$B:$B,B381,Videos!$E:$E,A381))</f>
        <v/>
      </c>
      <c r="L381" s="3">
        <f>IF(OR(K381="",K381=0),"",(D381+E381)/K381*1000)</f>
        <v/>
      </c>
      <c r="M381" s="10">
        <f>IF(OR(B381="",D381+E381=0),"",G381/(D381+E381))</f>
        <v/>
      </c>
      <c r="N381" s="3">
        <f>IF(OR(K381="",K381=0),"",G381/K381*10000)</f>
        <v/>
      </c>
    </row>
    <row r="382">
      <c r="A382" s="9" t="n"/>
      <c r="B382" s="8" t="n"/>
      <c r="C382">
        <f>IF(B382="","",IFERROR(VLOOKUP(B382,Accounts!$A:$D,4,FALSE),""))</f>
        <v/>
      </c>
      <c r="D382" s="8" t="n"/>
      <c r="E382" s="8" t="n"/>
      <c r="F382" s="8" t="n"/>
      <c r="G382" s="8" t="n"/>
      <c r="H382" s="8" t="n"/>
      <c r="I382" s="8" t="n"/>
      <c r="J382" s="8" t="n"/>
      <c r="K382">
        <f>IF(B382="","",SUMIFS(Videos!$F:$F,Videos!$B:$B,B382,Videos!$E:$E,A382))</f>
        <v/>
      </c>
      <c r="L382" s="3">
        <f>IF(OR(K382="",K382=0),"",(D382+E382)/K382*1000)</f>
        <v/>
      </c>
      <c r="M382" s="10">
        <f>IF(OR(B382="",D382+E382=0),"",G382/(D382+E382))</f>
        <v/>
      </c>
      <c r="N382" s="3">
        <f>IF(OR(K382="",K382=0),"",G382/K382*10000)</f>
        <v/>
      </c>
    </row>
    <row r="383">
      <c r="A383" s="9" t="n"/>
      <c r="B383" s="8" t="n"/>
      <c r="C383">
        <f>IF(B383="","",IFERROR(VLOOKUP(B383,Accounts!$A:$D,4,FALSE),""))</f>
        <v/>
      </c>
      <c r="D383" s="8" t="n"/>
      <c r="E383" s="8" t="n"/>
      <c r="F383" s="8" t="n"/>
      <c r="G383" s="8" t="n"/>
      <c r="H383" s="8" t="n"/>
      <c r="I383" s="8" t="n"/>
      <c r="J383" s="8" t="n"/>
      <c r="K383">
        <f>IF(B383="","",SUMIFS(Videos!$F:$F,Videos!$B:$B,B383,Videos!$E:$E,A383))</f>
        <v/>
      </c>
      <c r="L383" s="3">
        <f>IF(OR(K383="",K383=0),"",(D383+E383)/K383*1000)</f>
        <v/>
      </c>
      <c r="M383" s="10">
        <f>IF(OR(B383="",D383+E383=0),"",G383/(D383+E383))</f>
        <v/>
      </c>
      <c r="N383" s="3">
        <f>IF(OR(K383="",K383=0),"",G383/K383*10000)</f>
        <v/>
      </c>
    </row>
    <row r="384">
      <c r="A384" s="9" t="n"/>
      <c r="B384" s="8" t="n"/>
      <c r="C384">
        <f>IF(B384="","",IFERROR(VLOOKUP(B384,Accounts!$A:$D,4,FALSE),""))</f>
        <v/>
      </c>
      <c r="D384" s="8" t="n"/>
      <c r="E384" s="8" t="n"/>
      <c r="F384" s="8" t="n"/>
      <c r="G384" s="8" t="n"/>
      <c r="H384" s="8" t="n"/>
      <c r="I384" s="8" t="n"/>
      <c r="J384" s="8" t="n"/>
      <c r="K384">
        <f>IF(B384="","",SUMIFS(Videos!$F:$F,Videos!$B:$B,B384,Videos!$E:$E,A384))</f>
        <v/>
      </c>
      <c r="L384" s="3">
        <f>IF(OR(K384="",K384=0),"",(D384+E384)/K384*1000)</f>
        <v/>
      </c>
      <c r="M384" s="10">
        <f>IF(OR(B384="",D384+E384=0),"",G384/(D384+E384))</f>
        <v/>
      </c>
      <c r="N384" s="3">
        <f>IF(OR(K384="",K384=0),"",G384/K384*10000)</f>
        <v/>
      </c>
    </row>
    <row r="385">
      <c r="A385" s="9" t="n"/>
      <c r="B385" s="8" t="n"/>
      <c r="C385">
        <f>IF(B385="","",IFERROR(VLOOKUP(B385,Accounts!$A:$D,4,FALSE),""))</f>
        <v/>
      </c>
      <c r="D385" s="8" t="n"/>
      <c r="E385" s="8" t="n"/>
      <c r="F385" s="8" t="n"/>
      <c r="G385" s="8" t="n"/>
      <c r="H385" s="8" t="n"/>
      <c r="I385" s="8" t="n"/>
      <c r="J385" s="8" t="n"/>
      <c r="K385">
        <f>IF(B385="","",SUMIFS(Videos!$F:$F,Videos!$B:$B,B385,Videos!$E:$E,A385))</f>
        <v/>
      </c>
      <c r="L385" s="3">
        <f>IF(OR(K385="",K385=0),"",(D385+E385)/K385*1000)</f>
        <v/>
      </c>
      <c r="M385" s="10">
        <f>IF(OR(B385="",D385+E385=0),"",G385/(D385+E385))</f>
        <v/>
      </c>
      <c r="N385" s="3">
        <f>IF(OR(K385="",K385=0),"",G385/K385*10000)</f>
        <v/>
      </c>
    </row>
    <row r="386">
      <c r="A386" s="9" t="n"/>
      <c r="B386" s="8" t="n"/>
      <c r="C386">
        <f>IF(B386="","",IFERROR(VLOOKUP(B386,Accounts!$A:$D,4,FALSE),""))</f>
        <v/>
      </c>
      <c r="D386" s="8" t="n"/>
      <c r="E386" s="8" t="n"/>
      <c r="F386" s="8" t="n"/>
      <c r="G386" s="8" t="n"/>
      <c r="H386" s="8" t="n"/>
      <c r="I386" s="8" t="n"/>
      <c r="J386" s="8" t="n"/>
      <c r="K386">
        <f>IF(B386="","",SUMIFS(Videos!$F:$F,Videos!$B:$B,B386,Videos!$E:$E,A386))</f>
        <v/>
      </c>
      <c r="L386" s="3">
        <f>IF(OR(K386="",K386=0),"",(D386+E386)/K386*1000)</f>
        <v/>
      </c>
      <c r="M386" s="10">
        <f>IF(OR(B386="",D386+E386=0),"",G386/(D386+E386))</f>
        <v/>
      </c>
      <c r="N386" s="3">
        <f>IF(OR(K386="",K386=0),"",G386/K386*10000)</f>
        <v/>
      </c>
    </row>
    <row r="387">
      <c r="A387" s="9" t="n"/>
      <c r="B387" s="8" t="n"/>
      <c r="C387">
        <f>IF(B387="","",IFERROR(VLOOKUP(B387,Accounts!$A:$D,4,FALSE),""))</f>
        <v/>
      </c>
      <c r="D387" s="8" t="n"/>
      <c r="E387" s="8" t="n"/>
      <c r="F387" s="8" t="n"/>
      <c r="G387" s="8" t="n"/>
      <c r="H387" s="8" t="n"/>
      <c r="I387" s="8" t="n"/>
      <c r="J387" s="8" t="n"/>
      <c r="K387">
        <f>IF(B387="","",SUMIFS(Videos!$F:$F,Videos!$B:$B,B387,Videos!$E:$E,A387))</f>
        <v/>
      </c>
      <c r="L387" s="3">
        <f>IF(OR(K387="",K387=0),"",(D387+E387)/K387*1000)</f>
        <v/>
      </c>
      <c r="M387" s="10">
        <f>IF(OR(B387="",D387+E387=0),"",G387/(D387+E387))</f>
        <v/>
      </c>
      <c r="N387" s="3">
        <f>IF(OR(K387="",K387=0),"",G387/K387*10000)</f>
        <v/>
      </c>
    </row>
    <row r="388">
      <c r="A388" s="9" t="n"/>
      <c r="B388" s="8" t="n"/>
      <c r="C388">
        <f>IF(B388="","",IFERROR(VLOOKUP(B388,Accounts!$A:$D,4,FALSE),""))</f>
        <v/>
      </c>
      <c r="D388" s="8" t="n"/>
      <c r="E388" s="8" t="n"/>
      <c r="F388" s="8" t="n"/>
      <c r="G388" s="8" t="n"/>
      <c r="H388" s="8" t="n"/>
      <c r="I388" s="8" t="n"/>
      <c r="J388" s="8" t="n"/>
      <c r="K388">
        <f>IF(B388="","",SUMIFS(Videos!$F:$F,Videos!$B:$B,B388,Videos!$E:$E,A388))</f>
        <v/>
      </c>
      <c r="L388" s="3">
        <f>IF(OR(K388="",K388=0),"",(D388+E388)/K388*1000)</f>
        <v/>
      </c>
      <c r="M388" s="10">
        <f>IF(OR(B388="",D388+E388=0),"",G388/(D388+E388))</f>
        <v/>
      </c>
      <c r="N388" s="3">
        <f>IF(OR(K388="",K388=0),"",G388/K388*10000)</f>
        <v/>
      </c>
    </row>
    <row r="389">
      <c r="A389" s="9" t="n"/>
      <c r="B389" s="8" t="n"/>
      <c r="C389">
        <f>IF(B389="","",IFERROR(VLOOKUP(B389,Accounts!$A:$D,4,FALSE),""))</f>
        <v/>
      </c>
      <c r="D389" s="8" t="n"/>
      <c r="E389" s="8" t="n"/>
      <c r="F389" s="8" t="n"/>
      <c r="G389" s="8" t="n"/>
      <c r="H389" s="8" t="n"/>
      <c r="I389" s="8" t="n"/>
      <c r="J389" s="8" t="n"/>
      <c r="K389">
        <f>IF(B389="","",SUMIFS(Videos!$F:$F,Videos!$B:$B,B389,Videos!$E:$E,A389))</f>
        <v/>
      </c>
      <c r="L389" s="3">
        <f>IF(OR(K389="",K389=0),"",(D389+E389)/K389*1000)</f>
        <v/>
      </c>
      <c r="M389" s="10">
        <f>IF(OR(B389="",D389+E389=0),"",G389/(D389+E389))</f>
        <v/>
      </c>
      <c r="N389" s="3">
        <f>IF(OR(K389="",K389=0),"",G389/K389*10000)</f>
        <v/>
      </c>
    </row>
    <row r="390">
      <c r="A390" s="9" t="n"/>
      <c r="B390" s="8" t="n"/>
      <c r="C390">
        <f>IF(B390="","",IFERROR(VLOOKUP(B390,Accounts!$A:$D,4,FALSE),""))</f>
        <v/>
      </c>
      <c r="D390" s="8" t="n"/>
      <c r="E390" s="8" t="n"/>
      <c r="F390" s="8" t="n"/>
      <c r="G390" s="8" t="n"/>
      <c r="H390" s="8" t="n"/>
      <c r="I390" s="8" t="n"/>
      <c r="J390" s="8" t="n"/>
      <c r="K390">
        <f>IF(B390="","",SUMIFS(Videos!$F:$F,Videos!$B:$B,B390,Videos!$E:$E,A390))</f>
        <v/>
      </c>
      <c r="L390" s="3">
        <f>IF(OR(K390="",K390=0),"",(D390+E390)/K390*1000)</f>
        <v/>
      </c>
      <c r="M390" s="10">
        <f>IF(OR(B390="",D390+E390=0),"",G390/(D390+E390))</f>
        <v/>
      </c>
      <c r="N390" s="3">
        <f>IF(OR(K390="",K390=0),"",G390/K390*10000)</f>
        <v/>
      </c>
    </row>
    <row r="391">
      <c r="A391" s="9" t="n"/>
      <c r="B391" s="8" t="n"/>
      <c r="C391">
        <f>IF(B391="","",IFERROR(VLOOKUP(B391,Accounts!$A:$D,4,FALSE),""))</f>
        <v/>
      </c>
      <c r="D391" s="8" t="n"/>
      <c r="E391" s="8" t="n"/>
      <c r="F391" s="8" t="n"/>
      <c r="G391" s="8" t="n"/>
      <c r="H391" s="8" t="n"/>
      <c r="I391" s="8" t="n"/>
      <c r="J391" s="8" t="n"/>
      <c r="K391">
        <f>IF(B391="","",SUMIFS(Videos!$F:$F,Videos!$B:$B,B391,Videos!$E:$E,A391))</f>
        <v/>
      </c>
      <c r="L391" s="3">
        <f>IF(OR(K391="",K391=0),"",(D391+E391)/K391*1000)</f>
        <v/>
      </c>
      <c r="M391" s="10">
        <f>IF(OR(B391="",D391+E391=0),"",G391/(D391+E391))</f>
        <v/>
      </c>
      <c r="N391" s="3">
        <f>IF(OR(K391="",K391=0),"",G391/K391*10000)</f>
        <v/>
      </c>
    </row>
    <row r="392">
      <c r="A392" s="9" t="n"/>
      <c r="B392" s="8" t="n"/>
      <c r="C392">
        <f>IF(B392="","",IFERROR(VLOOKUP(B392,Accounts!$A:$D,4,FALSE),""))</f>
        <v/>
      </c>
      <c r="D392" s="8" t="n"/>
      <c r="E392" s="8" t="n"/>
      <c r="F392" s="8" t="n"/>
      <c r="G392" s="8" t="n"/>
      <c r="H392" s="8" t="n"/>
      <c r="I392" s="8" t="n"/>
      <c r="J392" s="8" t="n"/>
      <c r="K392">
        <f>IF(B392="","",SUMIFS(Videos!$F:$F,Videos!$B:$B,B392,Videos!$E:$E,A392))</f>
        <v/>
      </c>
      <c r="L392" s="3">
        <f>IF(OR(K392="",K392=0),"",(D392+E392)/K392*1000)</f>
        <v/>
      </c>
      <c r="M392" s="10">
        <f>IF(OR(B392="",D392+E392=0),"",G392/(D392+E392))</f>
        <v/>
      </c>
      <c r="N392" s="3">
        <f>IF(OR(K392="",K392=0),"",G392/K392*10000)</f>
        <v/>
      </c>
    </row>
    <row r="393">
      <c r="A393" s="9" t="n"/>
      <c r="B393" s="8" t="n"/>
      <c r="C393">
        <f>IF(B393="","",IFERROR(VLOOKUP(B393,Accounts!$A:$D,4,FALSE),""))</f>
        <v/>
      </c>
      <c r="D393" s="8" t="n"/>
      <c r="E393" s="8" t="n"/>
      <c r="F393" s="8" t="n"/>
      <c r="G393" s="8" t="n"/>
      <c r="H393" s="8" t="n"/>
      <c r="I393" s="8" t="n"/>
      <c r="J393" s="8" t="n"/>
      <c r="K393">
        <f>IF(B393="","",SUMIFS(Videos!$F:$F,Videos!$B:$B,B393,Videos!$E:$E,A393))</f>
        <v/>
      </c>
      <c r="L393" s="3">
        <f>IF(OR(K393="",K393=0),"",(D393+E393)/K393*1000)</f>
        <v/>
      </c>
      <c r="M393" s="10">
        <f>IF(OR(B393="",D393+E393=0),"",G393/(D393+E393))</f>
        <v/>
      </c>
      <c r="N393" s="3">
        <f>IF(OR(K393="",K393=0),"",G393/K393*10000)</f>
        <v/>
      </c>
    </row>
    <row r="394">
      <c r="A394" s="9" t="n"/>
      <c r="B394" s="8" t="n"/>
      <c r="C394">
        <f>IF(B394="","",IFERROR(VLOOKUP(B394,Accounts!$A:$D,4,FALSE),""))</f>
        <v/>
      </c>
      <c r="D394" s="8" t="n"/>
      <c r="E394" s="8" t="n"/>
      <c r="F394" s="8" t="n"/>
      <c r="G394" s="8" t="n"/>
      <c r="H394" s="8" t="n"/>
      <c r="I394" s="8" t="n"/>
      <c r="J394" s="8" t="n"/>
      <c r="K394">
        <f>IF(B394="","",SUMIFS(Videos!$F:$F,Videos!$B:$B,B394,Videos!$E:$E,A394))</f>
        <v/>
      </c>
      <c r="L394" s="3">
        <f>IF(OR(K394="",K394=0),"",(D394+E394)/K394*1000)</f>
        <v/>
      </c>
      <c r="M394" s="10">
        <f>IF(OR(B394="",D394+E394=0),"",G394/(D394+E394))</f>
        <v/>
      </c>
      <c r="N394" s="3">
        <f>IF(OR(K394="",K394=0),"",G394/K394*10000)</f>
        <v/>
      </c>
    </row>
    <row r="395">
      <c r="A395" s="9" t="n"/>
      <c r="B395" s="8" t="n"/>
      <c r="C395">
        <f>IF(B395="","",IFERROR(VLOOKUP(B395,Accounts!$A:$D,4,FALSE),""))</f>
        <v/>
      </c>
      <c r="D395" s="8" t="n"/>
      <c r="E395" s="8" t="n"/>
      <c r="F395" s="8" t="n"/>
      <c r="G395" s="8" t="n"/>
      <c r="H395" s="8" t="n"/>
      <c r="I395" s="8" t="n"/>
      <c r="J395" s="8" t="n"/>
      <c r="K395">
        <f>IF(B395="","",SUMIFS(Videos!$F:$F,Videos!$B:$B,B395,Videos!$E:$E,A395))</f>
        <v/>
      </c>
      <c r="L395" s="3">
        <f>IF(OR(K395="",K395=0),"",(D395+E395)/K395*1000)</f>
        <v/>
      </c>
      <c r="M395" s="10">
        <f>IF(OR(B395="",D395+E395=0),"",G395/(D395+E395))</f>
        <v/>
      </c>
      <c r="N395" s="3">
        <f>IF(OR(K395="",K395=0),"",G395/K395*10000)</f>
        <v/>
      </c>
    </row>
    <row r="396">
      <c r="A396" s="9" t="n"/>
      <c r="B396" s="8" t="n"/>
      <c r="C396">
        <f>IF(B396="","",IFERROR(VLOOKUP(B396,Accounts!$A:$D,4,FALSE),""))</f>
        <v/>
      </c>
      <c r="D396" s="8" t="n"/>
      <c r="E396" s="8" t="n"/>
      <c r="F396" s="8" t="n"/>
      <c r="G396" s="8" t="n"/>
      <c r="H396" s="8" t="n"/>
      <c r="I396" s="8" t="n"/>
      <c r="J396" s="8" t="n"/>
      <c r="K396">
        <f>IF(B396="","",SUMIFS(Videos!$F:$F,Videos!$B:$B,B396,Videos!$E:$E,A396))</f>
        <v/>
      </c>
      <c r="L396" s="3">
        <f>IF(OR(K396="",K396=0),"",(D396+E396)/K396*1000)</f>
        <v/>
      </c>
      <c r="M396" s="10">
        <f>IF(OR(B396="",D396+E396=0),"",G396/(D396+E396))</f>
        <v/>
      </c>
      <c r="N396" s="3">
        <f>IF(OR(K396="",K396=0),"",G396/K396*10000)</f>
        <v/>
      </c>
    </row>
    <row r="397">
      <c r="A397" s="9" t="n"/>
      <c r="B397" s="8" t="n"/>
      <c r="C397">
        <f>IF(B397="","",IFERROR(VLOOKUP(B397,Accounts!$A:$D,4,FALSE),""))</f>
        <v/>
      </c>
      <c r="D397" s="8" t="n"/>
      <c r="E397" s="8" t="n"/>
      <c r="F397" s="8" t="n"/>
      <c r="G397" s="8" t="n"/>
      <c r="H397" s="8" t="n"/>
      <c r="I397" s="8" t="n"/>
      <c r="J397" s="8" t="n"/>
      <c r="K397">
        <f>IF(B397="","",SUMIFS(Videos!$F:$F,Videos!$B:$B,B397,Videos!$E:$E,A397))</f>
        <v/>
      </c>
      <c r="L397" s="3">
        <f>IF(OR(K397="",K397=0),"",(D397+E397)/K397*1000)</f>
        <v/>
      </c>
      <c r="M397" s="10">
        <f>IF(OR(B397="",D397+E397=0),"",G397/(D397+E397))</f>
        <v/>
      </c>
      <c r="N397" s="3">
        <f>IF(OR(K397="",K397=0),"",G397/K397*10000)</f>
        <v/>
      </c>
    </row>
    <row r="398">
      <c r="A398" s="9" t="n"/>
      <c r="B398" s="8" t="n"/>
      <c r="C398">
        <f>IF(B398="","",IFERROR(VLOOKUP(B398,Accounts!$A:$D,4,FALSE),""))</f>
        <v/>
      </c>
      <c r="D398" s="8" t="n"/>
      <c r="E398" s="8" t="n"/>
      <c r="F398" s="8" t="n"/>
      <c r="G398" s="8" t="n"/>
      <c r="H398" s="8" t="n"/>
      <c r="I398" s="8" t="n"/>
      <c r="J398" s="8" t="n"/>
      <c r="K398">
        <f>IF(B398="","",SUMIFS(Videos!$F:$F,Videos!$B:$B,B398,Videos!$E:$E,A398))</f>
        <v/>
      </c>
      <c r="L398" s="3">
        <f>IF(OR(K398="",K398=0),"",(D398+E398)/K398*1000)</f>
        <v/>
      </c>
      <c r="M398" s="10">
        <f>IF(OR(B398="",D398+E398=0),"",G398/(D398+E398))</f>
        <v/>
      </c>
      <c r="N398" s="3">
        <f>IF(OR(K398="",K398=0),"",G398/K398*10000)</f>
        <v/>
      </c>
    </row>
    <row r="399">
      <c r="A399" s="9" t="n"/>
      <c r="B399" s="8" t="n"/>
      <c r="C399">
        <f>IF(B399="","",IFERROR(VLOOKUP(B399,Accounts!$A:$D,4,FALSE),""))</f>
        <v/>
      </c>
      <c r="D399" s="8" t="n"/>
      <c r="E399" s="8" t="n"/>
      <c r="F399" s="8" t="n"/>
      <c r="G399" s="8" t="n"/>
      <c r="H399" s="8" t="n"/>
      <c r="I399" s="8" t="n"/>
      <c r="J399" s="8" t="n"/>
      <c r="K399">
        <f>IF(B399="","",SUMIFS(Videos!$F:$F,Videos!$B:$B,B399,Videos!$E:$E,A399))</f>
        <v/>
      </c>
      <c r="L399" s="3">
        <f>IF(OR(K399="",K399=0),"",(D399+E399)/K399*1000)</f>
        <v/>
      </c>
      <c r="M399" s="10">
        <f>IF(OR(B399="",D399+E399=0),"",G399/(D399+E399))</f>
        <v/>
      </c>
      <c r="N399" s="3">
        <f>IF(OR(K399="",K399=0),"",G399/K399*10000)</f>
        <v/>
      </c>
    </row>
    <row r="400">
      <c r="A400" s="9" t="n"/>
      <c r="B400" s="8" t="n"/>
      <c r="C400">
        <f>IF(B400="","",IFERROR(VLOOKUP(B400,Accounts!$A:$D,4,FALSE),""))</f>
        <v/>
      </c>
      <c r="D400" s="8" t="n"/>
      <c r="E400" s="8" t="n"/>
      <c r="F400" s="8" t="n"/>
      <c r="G400" s="8" t="n"/>
      <c r="H400" s="8" t="n"/>
      <c r="I400" s="8" t="n"/>
      <c r="J400" s="8" t="n"/>
      <c r="K400">
        <f>IF(B400="","",SUMIFS(Videos!$F:$F,Videos!$B:$B,B400,Videos!$E:$E,A400))</f>
        <v/>
      </c>
      <c r="L400" s="3">
        <f>IF(OR(K400="",K400=0),"",(D400+E400)/K400*1000)</f>
        <v/>
      </c>
      <c r="M400" s="10">
        <f>IF(OR(B400="",D400+E400=0),"",G400/(D400+E400))</f>
        <v/>
      </c>
      <c r="N400" s="3">
        <f>IF(OR(K400="",K400=0),"",G400/K400*10000)</f>
        <v/>
      </c>
    </row>
    <row r="401">
      <c r="A401" s="9" t="n"/>
      <c r="B401" s="8" t="n"/>
      <c r="C401">
        <f>IF(B401="","",IFERROR(VLOOKUP(B401,Accounts!$A:$D,4,FALSE),""))</f>
        <v/>
      </c>
      <c r="D401" s="8" t="n"/>
      <c r="E401" s="8" t="n"/>
      <c r="F401" s="8" t="n"/>
      <c r="G401" s="8" t="n"/>
      <c r="H401" s="8" t="n"/>
      <c r="I401" s="8" t="n"/>
      <c r="J401" s="8" t="n"/>
      <c r="K401">
        <f>IF(B401="","",SUMIFS(Videos!$F:$F,Videos!$B:$B,B401,Videos!$E:$E,A401))</f>
        <v/>
      </c>
      <c r="L401" s="3">
        <f>IF(OR(K401="",K401=0),"",(D401+E401)/K401*1000)</f>
        <v/>
      </c>
      <c r="M401" s="10">
        <f>IF(OR(B401="",D401+E401=0),"",G401/(D401+E401))</f>
        <v/>
      </c>
      <c r="N401" s="3">
        <f>IF(OR(K401="",K401=0),"",G401/K401*10000)</f>
        <v/>
      </c>
    </row>
  </sheetData>
  <dataValidations count="1">
    <dataValidation sqref="B2:B401" showDropDown="0" showInputMessage="0" showErrorMessage="0" allowBlank="1" type="list">
      <formula1>=Accounts!$A$2:$A$60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</cols>
  <sheetData>
    <row r="1" ht="32" customHeight="1">
      <c r="A1" s="2" t="inlineStr">
        <is>
          <t>territory</t>
        </is>
      </c>
      <c r="B1" s="2" t="inlineStr">
        <is>
          <t>avg_daily_search_installs_14d_before_test</t>
        </is>
      </c>
    </row>
    <row r="2">
      <c r="A2" t="inlineStr">
        <is>
          <t>US</t>
        </is>
      </c>
      <c r="B2" s="8" t="n">
        <v>4</v>
      </c>
    </row>
    <row r="3">
      <c r="A3" t="inlineStr">
        <is>
          <t>GB</t>
        </is>
      </c>
      <c r="B3" s="8" t="n"/>
    </row>
    <row r="4">
      <c r="A4" t="inlineStr">
        <is>
          <t>CA</t>
        </is>
      </c>
      <c r="B4" s="8" t="n"/>
    </row>
    <row r="5">
      <c r="A5" t="inlineStr">
        <is>
          <t>AU</t>
        </is>
      </c>
      <c r="B5" s="8" t="n"/>
    </row>
    <row r="6">
      <c r="A6" t="inlineStr">
        <is>
          <t>ID</t>
        </is>
      </c>
      <c r="B6" s="8" t="n"/>
    </row>
    <row r="7">
      <c r="A7" t="inlineStr">
        <is>
          <t>PK</t>
        </is>
      </c>
      <c r="B7" s="8" t="n"/>
    </row>
    <row r="8">
      <c r="A8" t="inlineStr">
        <is>
          <t>IN</t>
        </is>
      </c>
      <c r="B8" s="8" t="n"/>
    </row>
    <row r="9">
      <c r="A9" t="inlineStr">
        <is>
          <t>SA</t>
        </is>
      </c>
      <c r="B9" s="8" t="n"/>
    </row>
    <row r="10">
      <c r="A10" t="inlineStr">
        <is>
          <t>AE</t>
        </is>
      </c>
      <c r="B10" s="8" t="n"/>
    </row>
    <row r="11">
      <c r="A11" t="inlineStr">
        <is>
          <t>TR</t>
        </is>
      </c>
      <c r="B11" s="8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9" customWidth="1" min="5" max="5"/>
    <col width="14" customWidth="1" min="6" max="6"/>
    <col width="13" customWidth="1" min="7" max="7"/>
  </cols>
  <sheetData>
    <row r="1" ht="32" customHeight="1">
      <c r="A1" s="2" t="inlineStr">
        <is>
          <t>date</t>
        </is>
      </c>
      <c r="B1" s="2" t="inlineStr">
        <is>
          <t>territory</t>
        </is>
      </c>
      <c r="C1" s="2" t="inlineStr">
        <is>
          <t>search_installs</t>
        </is>
      </c>
      <c r="D1" s="2" t="inlineStr">
        <is>
          <t>baseline</t>
        </is>
      </c>
      <c r="E1" s="2" t="inlineStr">
        <is>
          <t>uplift</t>
        </is>
      </c>
      <c r="F1" s="2" t="inlineStr">
        <is>
          <t>views_all_videos_that_day</t>
        </is>
      </c>
      <c r="G1" s="2" t="inlineStr">
        <is>
          <t>uplift_per_1k_views</t>
        </is>
      </c>
    </row>
    <row r="2">
      <c r="A2" s="9" t="n">
        <v>46319</v>
      </c>
      <c r="B2" s="8" t="inlineStr">
        <is>
          <t>US</t>
        </is>
      </c>
      <c r="C2" s="8" t="n">
        <v>19</v>
      </c>
      <c r="D2">
        <f>IF(B2="","",IFERROR(VLOOKUP(B2,Baseline!$A:$B,2,FALSE),0))</f>
        <v/>
      </c>
      <c r="E2">
        <f>IF(B2="","",MAX(0,N(C2)-N(D2)))</f>
        <v/>
      </c>
      <c r="F2">
        <f>IF(A2="","",SUMIFS(Videos!$F:$F,Videos!$E:$E,A2))</f>
        <v/>
      </c>
      <c r="G2" s="4">
        <f>IF(OR(F2="",F2=0),"",E2/F2*1000)</f>
        <v/>
      </c>
    </row>
    <row r="3">
      <c r="A3" s="9" t="n"/>
      <c r="B3" s="8" t="n"/>
      <c r="C3" s="8" t="n"/>
      <c r="D3">
        <f>IF(B3="","",IFERROR(VLOOKUP(B3,Baseline!$A:$B,2,FALSE),0))</f>
        <v/>
      </c>
      <c r="E3">
        <f>IF(B3="","",MAX(0,N(C3)-N(D3)))</f>
        <v/>
      </c>
      <c r="F3">
        <f>IF(A3="","",SUMIFS(Videos!$F:$F,Videos!$E:$E,A3))</f>
        <v/>
      </c>
      <c r="G3" s="4">
        <f>IF(OR(F3="",F3=0),"",E3/F3*1000)</f>
        <v/>
      </c>
    </row>
    <row r="4">
      <c r="A4" s="9" t="n"/>
      <c r="B4" s="8" t="n"/>
      <c r="C4" s="8" t="n"/>
      <c r="D4">
        <f>IF(B4="","",IFERROR(VLOOKUP(B4,Baseline!$A:$B,2,FALSE),0))</f>
        <v/>
      </c>
      <c r="E4">
        <f>IF(B4="","",MAX(0,N(C4)-N(D4)))</f>
        <v/>
      </c>
      <c r="F4">
        <f>IF(A4="","",SUMIFS(Videos!$F:$F,Videos!$E:$E,A4))</f>
        <v/>
      </c>
      <c r="G4" s="4">
        <f>IF(OR(F4="",F4=0),"",E4/F4*1000)</f>
        <v/>
      </c>
    </row>
    <row r="5">
      <c r="A5" s="9" t="n"/>
      <c r="B5" s="8" t="n"/>
      <c r="C5" s="8" t="n"/>
      <c r="D5">
        <f>IF(B5="","",IFERROR(VLOOKUP(B5,Baseline!$A:$B,2,FALSE),0))</f>
        <v/>
      </c>
      <c r="E5">
        <f>IF(B5="","",MAX(0,N(C5)-N(D5)))</f>
        <v/>
      </c>
      <c r="F5">
        <f>IF(A5="","",SUMIFS(Videos!$F:$F,Videos!$E:$E,A5))</f>
        <v/>
      </c>
      <c r="G5" s="4">
        <f>IF(OR(F5="",F5=0),"",E5/F5*1000)</f>
        <v/>
      </c>
    </row>
    <row r="6">
      <c r="A6" s="9" t="n"/>
      <c r="B6" s="8" t="n"/>
      <c r="C6" s="8" t="n"/>
      <c r="D6">
        <f>IF(B6="","",IFERROR(VLOOKUP(B6,Baseline!$A:$B,2,FALSE),0))</f>
        <v/>
      </c>
      <c r="E6">
        <f>IF(B6="","",MAX(0,N(C6)-N(D6)))</f>
        <v/>
      </c>
      <c r="F6">
        <f>IF(A6="","",SUMIFS(Videos!$F:$F,Videos!$E:$E,A6))</f>
        <v/>
      </c>
      <c r="G6" s="4">
        <f>IF(OR(F6="",F6=0),"",E6/F6*1000)</f>
        <v/>
      </c>
    </row>
    <row r="7">
      <c r="A7" s="9" t="n"/>
      <c r="B7" s="8" t="n"/>
      <c r="C7" s="8" t="n"/>
      <c r="D7">
        <f>IF(B7="","",IFERROR(VLOOKUP(B7,Baseline!$A:$B,2,FALSE),0))</f>
        <v/>
      </c>
      <c r="E7">
        <f>IF(B7="","",MAX(0,N(C7)-N(D7)))</f>
        <v/>
      </c>
      <c r="F7">
        <f>IF(A7="","",SUMIFS(Videos!$F:$F,Videos!$E:$E,A7))</f>
        <v/>
      </c>
      <c r="G7" s="4">
        <f>IF(OR(F7="",F7=0),"",E7/F7*1000)</f>
        <v/>
      </c>
    </row>
    <row r="8">
      <c r="A8" s="9" t="n"/>
      <c r="B8" s="8" t="n"/>
      <c r="C8" s="8" t="n"/>
      <c r="D8">
        <f>IF(B8="","",IFERROR(VLOOKUP(B8,Baseline!$A:$B,2,FALSE),0))</f>
        <v/>
      </c>
      <c r="E8">
        <f>IF(B8="","",MAX(0,N(C8)-N(D8)))</f>
        <v/>
      </c>
      <c r="F8">
        <f>IF(A8="","",SUMIFS(Videos!$F:$F,Videos!$E:$E,A8))</f>
        <v/>
      </c>
      <c r="G8" s="4">
        <f>IF(OR(F8="",F8=0),"",E8/F8*1000)</f>
        <v/>
      </c>
    </row>
    <row r="9">
      <c r="A9" s="9" t="n"/>
      <c r="B9" s="8" t="n"/>
      <c r="C9" s="8" t="n"/>
      <c r="D9">
        <f>IF(B9="","",IFERROR(VLOOKUP(B9,Baseline!$A:$B,2,FALSE),0))</f>
        <v/>
      </c>
      <c r="E9">
        <f>IF(B9="","",MAX(0,N(C9)-N(D9)))</f>
        <v/>
      </c>
      <c r="F9">
        <f>IF(A9="","",SUMIFS(Videos!$F:$F,Videos!$E:$E,A9))</f>
        <v/>
      </c>
      <c r="G9" s="4">
        <f>IF(OR(F9="",F9=0),"",E9/F9*1000)</f>
        <v/>
      </c>
    </row>
    <row r="10">
      <c r="A10" s="9" t="n"/>
      <c r="B10" s="8" t="n"/>
      <c r="C10" s="8" t="n"/>
      <c r="D10">
        <f>IF(B10="","",IFERROR(VLOOKUP(B10,Baseline!$A:$B,2,FALSE),0))</f>
        <v/>
      </c>
      <c r="E10">
        <f>IF(B10="","",MAX(0,N(C10)-N(D10)))</f>
        <v/>
      </c>
      <c r="F10">
        <f>IF(A10="","",SUMIFS(Videos!$F:$F,Videos!$E:$E,A10))</f>
        <v/>
      </c>
      <c r="G10" s="4">
        <f>IF(OR(F10="",F10=0),"",E10/F10*1000)</f>
        <v/>
      </c>
    </row>
    <row r="11">
      <c r="A11" s="9" t="n"/>
      <c r="B11" s="8" t="n"/>
      <c r="C11" s="8" t="n"/>
      <c r="D11">
        <f>IF(B11="","",IFERROR(VLOOKUP(B11,Baseline!$A:$B,2,FALSE),0))</f>
        <v/>
      </c>
      <c r="E11">
        <f>IF(B11="","",MAX(0,N(C11)-N(D11)))</f>
        <v/>
      </c>
      <c r="F11">
        <f>IF(A11="","",SUMIFS(Videos!$F:$F,Videos!$E:$E,A11))</f>
        <v/>
      </c>
      <c r="G11" s="4">
        <f>IF(OR(F11="",F11=0),"",E11/F11*1000)</f>
        <v/>
      </c>
    </row>
    <row r="12">
      <c r="A12" s="9" t="n"/>
      <c r="B12" s="8" t="n"/>
      <c r="C12" s="8" t="n"/>
      <c r="D12">
        <f>IF(B12="","",IFERROR(VLOOKUP(B12,Baseline!$A:$B,2,FALSE),0))</f>
        <v/>
      </c>
      <c r="E12">
        <f>IF(B12="","",MAX(0,N(C12)-N(D12)))</f>
        <v/>
      </c>
      <c r="F12">
        <f>IF(A12="","",SUMIFS(Videos!$F:$F,Videos!$E:$E,A12))</f>
        <v/>
      </c>
      <c r="G12" s="4">
        <f>IF(OR(F12="",F12=0),"",E12/F12*1000)</f>
        <v/>
      </c>
    </row>
    <row r="13">
      <c r="A13" s="9" t="n"/>
      <c r="B13" s="8" t="n"/>
      <c r="C13" s="8" t="n"/>
      <c r="D13">
        <f>IF(B13="","",IFERROR(VLOOKUP(B13,Baseline!$A:$B,2,FALSE),0))</f>
        <v/>
      </c>
      <c r="E13">
        <f>IF(B13="","",MAX(0,N(C13)-N(D13)))</f>
        <v/>
      </c>
      <c r="F13">
        <f>IF(A13="","",SUMIFS(Videos!$F:$F,Videos!$E:$E,A13))</f>
        <v/>
      </c>
      <c r="G13" s="4">
        <f>IF(OR(F13="",F13=0),"",E13/F13*1000)</f>
        <v/>
      </c>
    </row>
    <row r="14">
      <c r="A14" s="9" t="n"/>
      <c r="B14" s="8" t="n"/>
      <c r="C14" s="8" t="n"/>
      <c r="D14">
        <f>IF(B14="","",IFERROR(VLOOKUP(B14,Baseline!$A:$B,2,FALSE),0))</f>
        <v/>
      </c>
      <c r="E14">
        <f>IF(B14="","",MAX(0,N(C14)-N(D14)))</f>
        <v/>
      </c>
      <c r="F14">
        <f>IF(A14="","",SUMIFS(Videos!$F:$F,Videos!$E:$E,A14))</f>
        <v/>
      </c>
      <c r="G14" s="4">
        <f>IF(OR(F14="",F14=0),"",E14/F14*1000)</f>
        <v/>
      </c>
    </row>
    <row r="15">
      <c r="A15" s="9" t="n"/>
      <c r="B15" s="8" t="n"/>
      <c r="C15" s="8" t="n"/>
      <c r="D15">
        <f>IF(B15="","",IFERROR(VLOOKUP(B15,Baseline!$A:$B,2,FALSE),0))</f>
        <v/>
      </c>
      <c r="E15">
        <f>IF(B15="","",MAX(0,N(C15)-N(D15)))</f>
        <v/>
      </c>
      <c r="F15">
        <f>IF(A15="","",SUMIFS(Videos!$F:$F,Videos!$E:$E,A15))</f>
        <v/>
      </c>
      <c r="G15" s="4">
        <f>IF(OR(F15="",F15=0),"",E15/F15*1000)</f>
        <v/>
      </c>
    </row>
    <row r="16">
      <c r="A16" s="9" t="n"/>
      <c r="B16" s="8" t="n"/>
      <c r="C16" s="8" t="n"/>
      <c r="D16">
        <f>IF(B16="","",IFERROR(VLOOKUP(B16,Baseline!$A:$B,2,FALSE),0))</f>
        <v/>
      </c>
      <c r="E16">
        <f>IF(B16="","",MAX(0,N(C16)-N(D16)))</f>
        <v/>
      </c>
      <c r="F16">
        <f>IF(A16="","",SUMIFS(Videos!$F:$F,Videos!$E:$E,A16))</f>
        <v/>
      </c>
      <c r="G16" s="4">
        <f>IF(OR(F16="",F16=0),"",E16/F16*1000)</f>
        <v/>
      </c>
    </row>
    <row r="17">
      <c r="A17" s="9" t="n"/>
      <c r="B17" s="8" t="n"/>
      <c r="C17" s="8" t="n"/>
      <c r="D17">
        <f>IF(B17="","",IFERROR(VLOOKUP(B17,Baseline!$A:$B,2,FALSE),0))</f>
        <v/>
      </c>
      <c r="E17">
        <f>IF(B17="","",MAX(0,N(C17)-N(D17)))</f>
        <v/>
      </c>
      <c r="F17">
        <f>IF(A17="","",SUMIFS(Videos!$F:$F,Videos!$E:$E,A17))</f>
        <v/>
      </c>
      <c r="G17" s="4">
        <f>IF(OR(F17="",F17=0),"",E17/F17*1000)</f>
        <v/>
      </c>
    </row>
    <row r="18">
      <c r="A18" s="9" t="n"/>
      <c r="B18" s="8" t="n"/>
      <c r="C18" s="8" t="n"/>
      <c r="D18">
        <f>IF(B18="","",IFERROR(VLOOKUP(B18,Baseline!$A:$B,2,FALSE),0))</f>
        <v/>
      </c>
      <c r="E18">
        <f>IF(B18="","",MAX(0,N(C18)-N(D18)))</f>
        <v/>
      </c>
      <c r="F18">
        <f>IF(A18="","",SUMIFS(Videos!$F:$F,Videos!$E:$E,A18))</f>
        <v/>
      </c>
      <c r="G18" s="4">
        <f>IF(OR(F18="",F18=0),"",E18/F18*1000)</f>
        <v/>
      </c>
    </row>
    <row r="19">
      <c r="A19" s="9" t="n"/>
      <c r="B19" s="8" t="n"/>
      <c r="C19" s="8" t="n"/>
      <c r="D19">
        <f>IF(B19="","",IFERROR(VLOOKUP(B19,Baseline!$A:$B,2,FALSE),0))</f>
        <v/>
      </c>
      <c r="E19">
        <f>IF(B19="","",MAX(0,N(C19)-N(D19)))</f>
        <v/>
      </c>
      <c r="F19">
        <f>IF(A19="","",SUMIFS(Videos!$F:$F,Videos!$E:$E,A19))</f>
        <v/>
      </c>
      <c r="G19" s="4">
        <f>IF(OR(F19="",F19=0),"",E19/F19*1000)</f>
        <v/>
      </c>
    </row>
    <row r="20">
      <c r="A20" s="9" t="n"/>
      <c r="B20" s="8" t="n"/>
      <c r="C20" s="8" t="n"/>
      <c r="D20">
        <f>IF(B20="","",IFERROR(VLOOKUP(B20,Baseline!$A:$B,2,FALSE),0))</f>
        <v/>
      </c>
      <c r="E20">
        <f>IF(B20="","",MAX(0,N(C20)-N(D20)))</f>
        <v/>
      </c>
      <c r="F20">
        <f>IF(A20="","",SUMIFS(Videos!$F:$F,Videos!$E:$E,A20))</f>
        <v/>
      </c>
      <c r="G20" s="4">
        <f>IF(OR(F20="",F20=0),"",E20/F20*1000)</f>
        <v/>
      </c>
    </row>
    <row r="21">
      <c r="A21" s="9" t="n"/>
      <c r="B21" s="8" t="n"/>
      <c r="C21" s="8" t="n"/>
      <c r="D21">
        <f>IF(B21="","",IFERROR(VLOOKUP(B21,Baseline!$A:$B,2,FALSE),0))</f>
        <v/>
      </c>
      <c r="E21">
        <f>IF(B21="","",MAX(0,N(C21)-N(D21)))</f>
        <v/>
      </c>
      <c r="F21">
        <f>IF(A21="","",SUMIFS(Videos!$F:$F,Videos!$E:$E,A21))</f>
        <v/>
      </c>
      <c r="G21" s="4">
        <f>IF(OR(F21="",F21=0),"",E21/F21*1000)</f>
        <v/>
      </c>
    </row>
    <row r="22">
      <c r="A22" s="9" t="n"/>
      <c r="B22" s="8" t="n"/>
      <c r="C22" s="8" t="n"/>
      <c r="D22">
        <f>IF(B22="","",IFERROR(VLOOKUP(B22,Baseline!$A:$B,2,FALSE),0))</f>
        <v/>
      </c>
      <c r="E22">
        <f>IF(B22="","",MAX(0,N(C22)-N(D22)))</f>
        <v/>
      </c>
      <c r="F22">
        <f>IF(A22="","",SUMIFS(Videos!$F:$F,Videos!$E:$E,A22))</f>
        <v/>
      </c>
      <c r="G22" s="4">
        <f>IF(OR(F22="",F22=0),"",E22/F22*1000)</f>
        <v/>
      </c>
    </row>
    <row r="23">
      <c r="A23" s="9" t="n"/>
      <c r="B23" s="8" t="n"/>
      <c r="C23" s="8" t="n"/>
      <c r="D23">
        <f>IF(B23="","",IFERROR(VLOOKUP(B23,Baseline!$A:$B,2,FALSE),0))</f>
        <v/>
      </c>
      <c r="E23">
        <f>IF(B23="","",MAX(0,N(C23)-N(D23)))</f>
        <v/>
      </c>
      <c r="F23">
        <f>IF(A23="","",SUMIFS(Videos!$F:$F,Videos!$E:$E,A23))</f>
        <v/>
      </c>
      <c r="G23" s="4">
        <f>IF(OR(F23="",F23=0),"",E23/F23*1000)</f>
        <v/>
      </c>
    </row>
    <row r="24">
      <c r="A24" s="9" t="n"/>
      <c r="B24" s="8" t="n"/>
      <c r="C24" s="8" t="n"/>
      <c r="D24">
        <f>IF(B24="","",IFERROR(VLOOKUP(B24,Baseline!$A:$B,2,FALSE),0))</f>
        <v/>
      </c>
      <c r="E24">
        <f>IF(B24="","",MAX(0,N(C24)-N(D24)))</f>
        <v/>
      </c>
      <c r="F24">
        <f>IF(A24="","",SUMIFS(Videos!$F:$F,Videos!$E:$E,A24))</f>
        <v/>
      </c>
      <c r="G24" s="4">
        <f>IF(OR(F24="",F24=0),"",E24/F24*1000)</f>
        <v/>
      </c>
    </row>
    <row r="25">
      <c r="A25" s="9" t="n"/>
      <c r="B25" s="8" t="n"/>
      <c r="C25" s="8" t="n"/>
      <c r="D25">
        <f>IF(B25="","",IFERROR(VLOOKUP(B25,Baseline!$A:$B,2,FALSE),0))</f>
        <v/>
      </c>
      <c r="E25">
        <f>IF(B25="","",MAX(0,N(C25)-N(D25)))</f>
        <v/>
      </c>
      <c r="F25">
        <f>IF(A25="","",SUMIFS(Videos!$F:$F,Videos!$E:$E,A25))</f>
        <v/>
      </c>
      <c r="G25" s="4">
        <f>IF(OR(F25="",F25=0),"",E25/F25*1000)</f>
        <v/>
      </c>
    </row>
    <row r="26">
      <c r="A26" s="9" t="n"/>
      <c r="B26" s="8" t="n"/>
      <c r="C26" s="8" t="n"/>
      <c r="D26">
        <f>IF(B26="","",IFERROR(VLOOKUP(B26,Baseline!$A:$B,2,FALSE),0))</f>
        <v/>
      </c>
      <c r="E26">
        <f>IF(B26="","",MAX(0,N(C26)-N(D26)))</f>
        <v/>
      </c>
      <c r="F26">
        <f>IF(A26="","",SUMIFS(Videos!$F:$F,Videos!$E:$E,A26))</f>
        <v/>
      </c>
      <c r="G26" s="4">
        <f>IF(OR(F26="",F26=0),"",E26/F26*1000)</f>
        <v/>
      </c>
    </row>
    <row r="27">
      <c r="A27" s="9" t="n"/>
      <c r="B27" s="8" t="n"/>
      <c r="C27" s="8" t="n"/>
      <c r="D27">
        <f>IF(B27="","",IFERROR(VLOOKUP(B27,Baseline!$A:$B,2,FALSE),0))</f>
        <v/>
      </c>
      <c r="E27">
        <f>IF(B27="","",MAX(0,N(C27)-N(D27)))</f>
        <v/>
      </c>
      <c r="F27">
        <f>IF(A27="","",SUMIFS(Videos!$F:$F,Videos!$E:$E,A27))</f>
        <v/>
      </c>
      <c r="G27" s="4">
        <f>IF(OR(F27="",F27=0),"",E27/F27*1000)</f>
        <v/>
      </c>
    </row>
    <row r="28">
      <c r="A28" s="9" t="n"/>
      <c r="B28" s="8" t="n"/>
      <c r="C28" s="8" t="n"/>
      <c r="D28">
        <f>IF(B28="","",IFERROR(VLOOKUP(B28,Baseline!$A:$B,2,FALSE),0))</f>
        <v/>
      </c>
      <c r="E28">
        <f>IF(B28="","",MAX(0,N(C28)-N(D28)))</f>
        <v/>
      </c>
      <c r="F28">
        <f>IF(A28="","",SUMIFS(Videos!$F:$F,Videos!$E:$E,A28))</f>
        <v/>
      </c>
      <c r="G28" s="4">
        <f>IF(OR(F28="",F28=0),"",E28/F28*1000)</f>
        <v/>
      </c>
    </row>
    <row r="29">
      <c r="A29" s="9" t="n"/>
      <c r="B29" s="8" t="n"/>
      <c r="C29" s="8" t="n"/>
      <c r="D29">
        <f>IF(B29="","",IFERROR(VLOOKUP(B29,Baseline!$A:$B,2,FALSE),0))</f>
        <v/>
      </c>
      <c r="E29">
        <f>IF(B29="","",MAX(0,N(C29)-N(D29)))</f>
        <v/>
      </c>
      <c r="F29">
        <f>IF(A29="","",SUMIFS(Videos!$F:$F,Videos!$E:$E,A29))</f>
        <v/>
      </c>
      <c r="G29" s="4">
        <f>IF(OR(F29="",F29=0),"",E29/F29*1000)</f>
        <v/>
      </c>
    </row>
    <row r="30">
      <c r="A30" s="9" t="n"/>
      <c r="B30" s="8" t="n"/>
      <c r="C30" s="8" t="n"/>
      <c r="D30">
        <f>IF(B30="","",IFERROR(VLOOKUP(B30,Baseline!$A:$B,2,FALSE),0))</f>
        <v/>
      </c>
      <c r="E30">
        <f>IF(B30="","",MAX(0,N(C30)-N(D30)))</f>
        <v/>
      </c>
      <c r="F30">
        <f>IF(A30="","",SUMIFS(Videos!$F:$F,Videos!$E:$E,A30))</f>
        <v/>
      </c>
      <c r="G30" s="4">
        <f>IF(OR(F30="",F30=0),"",E30/F30*1000)</f>
        <v/>
      </c>
    </row>
    <row r="31">
      <c r="A31" s="9" t="n"/>
      <c r="B31" s="8" t="n"/>
      <c r="C31" s="8" t="n"/>
      <c r="D31">
        <f>IF(B31="","",IFERROR(VLOOKUP(B31,Baseline!$A:$B,2,FALSE),0))</f>
        <v/>
      </c>
      <c r="E31">
        <f>IF(B31="","",MAX(0,N(C31)-N(D31)))</f>
        <v/>
      </c>
      <c r="F31">
        <f>IF(A31="","",SUMIFS(Videos!$F:$F,Videos!$E:$E,A31))</f>
        <v/>
      </c>
      <c r="G31" s="4">
        <f>IF(OR(F31="",F31=0),"",E31/F31*1000)</f>
        <v/>
      </c>
    </row>
    <row r="32">
      <c r="A32" s="9" t="n"/>
      <c r="B32" s="8" t="n"/>
      <c r="C32" s="8" t="n"/>
      <c r="D32">
        <f>IF(B32="","",IFERROR(VLOOKUP(B32,Baseline!$A:$B,2,FALSE),0))</f>
        <v/>
      </c>
      <c r="E32">
        <f>IF(B32="","",MAX(0,N(C32)-N(D32)))</f>
        <v/>
      </c>
      <c r="F32">
        <f>IF(A32="","",SUMIFS(Videos!$F:$F,Videos!$E:$E,A32))</f>
        <v/>
      </c>
      <c r="G32" s="4">
        <f>IF(OR(F32="",F32=0),"",E32/F32*1000)</f>
        <v/>
      </c>
    </row>
    <row r="33">
      <c r="A33" s="9" t="n"/>
      <c r="B33" s="8" t="n"/>
      <c r="C33" s="8" t="n"/>
      <c r="D33">
        <f>IF(B33="","",IFERROR(VLOOKUP(B33,Baseline!$A:$B,2,FALSE),0))</f>
        <v/>
      </c>
      <c r="E33">
        <f>IF(B33="","",MAX(0,N(C33)-N(D33)))</f>
        <v/>
      </c>
      <c r="F33">
        <f>IF(A33="","",SUMIFS(Videos!$F:$F,Videos!$E:$E,A33))</f>
        <v/>
      </c>
      <c r="G33" s="4">
        <f>IF(OR(F33="",F33=0),"",E33/F33*1000)</f>
        <v/>
      </c>
    </row>
    <row r="34">
      <c r="A34" s="9" t="n"/>
      <c r="B34" s="8" t="n"/>
      <c r="C34" s="8" t="n"/>
      <c r="D34">
        <f>IF(B34="","",IFERROR(VLOOKUP(B34,Baseline!$A:$B,2,FALSE),0))</f>
        <v/>
      </c>
      <c r="E34">
        <f>IF(B34="","",MAX(0,N(C34)-N(D34)))</f>
        <v/>
      </c>
      <c r="F34">
        <f>IF(A34="","",SUMIFS(Videos!$F:$F,Videos!$E:$E,A34))</f>
        <v/>
      </c>
      <c r="G34" s="4">
        <f>IF(OR(F34="",F34=0),"",E34/F34*1000)</f>
        <v/>
      </c>
    </row>
    <row r="35">
      <c r="A35" s="9" t="n"/>
      <c r="B35" s="8" t="n"/>
      <c r="C35" s="8" t="n"/>
      <c r="D35">
        <f>IF(B35="","",IFERROR(VLOOKUP(B35,Baseline!$A:$B,2,FALSE),0))</f>
        <v/>
      </c>
      <c r="E35">
        <f>IF(B35="","",MAX(0,N(C35)-N(D35)))</f>
        <v/>
      </c>
      <c r="F35">
        <f>IF(A35="","",SUMIFS(Videos!$F:$F,Videos!$E:$E,A35))</f>
        <v/>
      </c>
      <c r="G35" s="4">
        <f>IF(OR(F35="",F35=0),"",E35/F35*1000)</f>
        <v/>
      </c>
    </row>
    <row r="36">
      <c r="A36" s="9" t="n"/>
      <c r="B36" s="8" t="n"/>
      <c r="C36" s="8" t="n"/>
      <c r="D36">
        <f>IF(B36="","",IFERROR(VLOOKUP(B36,Baseline!$A:$B,2,FALSE),0))</f>
        <v/>
      </c>
      <c r="E36">
        <f>IF(B36="","",MAX(0,N(C36)-N(D36)))</f>
        <v/>
      </c>
      <c r="F36">
        <f>IF(A36="","",SUMIFS(Videos!$F:$F,Videos!$E:$E,A36))</f>
        <v/>
      </c>
      <c r="G36" s="4">
        <f>IF(OR(F36="",F36=0),"",E36/F36*1000)</f>
        <v/>
      </c>
    </row>
    <row r="37">
      <c r="A37" s="9" t="n"/>
      <c r="B37" s="8" t="n"/>
      <c r="C37" s="8" t="n"/>
      <c r="D37">
        <f>IF(B37="","",IFERROR(VLOOKUP(B37,Baseline!$A:$B,2,FALSE),0))</f>
        <v/>
      </c>
      <c r="E37">
        <f>IF(B37="","",MAX(0,N(C37)-N(D37)))</f>
        <v/>
      </c>
      <c r="F37">
        <f>IF(A37="","",SUMIFS(Videos!$F:$F,Videos!$E:$E,A37))</f>
        <v/>
      </c>
      <c r="G37" s="4">
        <f>IF(OR(F37="",F37=0),"",E37/F37*1000)</f>
        <v/>
      </c>
    </row>
    <row r="38">
      <c r="A38" s="9" t="n"/>
      <c r="B38" s="8" t="n"/>
      <c r="C38" s="8" t="n"/>
      <c r="D38">
        <f>IF(B38="","",IFERROR(VLOOKUP(B38,Baseline!$A:$B,2,FALSE),0))</f>
        <v/>
      </c>
      <c r="E38">
        <f>IF(B38="","",MAX(0,N(C38)-N(D38)))</f>
        <v/>
      </c>
      <c r="F38">
        <f>IF(A38="","",SUMIFS(Videos!$F:$F,Videos!$E:$E,A38))</f>
        <v/>
      </c>
      <c r="G38" s="4">
        <f>IF(OR(F38="",F38=0),"",E38/F38*1000)</f>
        <v/>
      </c>
    </row>
    <row r="39">
      <c r="A39" s="9" t="n"/>
      <c r="B39" s="8" t="n"/>
      <c r="C39" s="8" t="n"/>
      <c r="D39">
        <f>IF(B39="","",IFERROR(VLOOKUP(B39,Baseline!$A:$B,2,FALSE),0))</f>
        <v/>
      </c>
      <c r="E39">
        <f>IF(B39="","",MAX(0,N(C39)-N(D39)))</f>
        <v/>
      </c>
      <c r="F39">
        <f>IF(A39="","",SUMIFS(Videos!$F:$F,Videos!$E:$E,A39))</f>
        <v/>
      </c>
      <c r="G39" s="4">
        <f>IF(OR(F39="",F39=0),"",E39/F39*1000)</f>
        <v/>
      </c>
    </row>
    <row r="40">
      <c r="A40" s="9" t="n"/>
      <c r="B40" s="8" t="n"/>
      <c r="C40" s="8" t="n"/>
      <c r="D40">
        <f>IF(B40="","",IFERROR(VLOOKUP(B40,Baseline!$A:$B,2,FALSE),0))</f>
        <v/>
      </c>
      <c r="E40">
        <f>IF(B40="","",MAX(0,N(C40)-N(D40)))</f>
        <v/>
      </c>
      <c r="F40">
        <f>IF(A40="","",SUMIFS(Videos!$F:$F,Videos!$E:$E,A40))</f>
        <v/>
      </c>
      <c r="G40" s="4">
        <f>IF(OR(F40="",F40=0),"",E40/F40*1000)</f>
        <v/>
      </c>
    </row>
    <row r="41">
      <c r="A41" s="9" t="n"/>
      <c r="B41" s="8" t="n"/>
      <c r="C41" s="8" t="n"/>
      <c r="D41">
        <f>IF(B41="","",IFERROR(VLOOKUP(B41,Baseline!$A:$B,2,FALSE),0))</f>
        <v/>
      </c>
      <c r="E41">
        <f>IF(B41="","",MAX(0,N(C41)-N(D41)))</f>
        <v/>
      </c>
      <c r="F41">
        <f>IF(A41="","",SUMIFS(Videos!$F:$F,Videos!$E:$E,A41))</f>
        <v/>
      </c>
      <c r="G41" s="4">
        <f>IF(OR(F41="",F41=0),"",E41/F41*1000)</f>
        <v/>
      </c>
    </row>
    <row r="42">
      <c r="A42" s="9" t="n"/>
      <c r="B42" s="8" t="n"/>
      <c r="C42" s="8" t="n"/>
      <c r="D42">
        <f>IF(B42="","",IFERROR(VLOOKUP(B42,Baseline!$A:$B,2,FALSE),0))</f>
        <v/>
      </c>
      <c r="E42">
        <f>IF(B42="","",MAX(0,N(C42)-N(D42)))</f>
        <v/>
      </c>
      <c r="F42">
        <f>IF(A42="","",SUMIFS(Videos!$F:$F,Videos!$E:$E,A42))</f>
        <v/>
      </c>
      <c r="G42" s="4">
        <f>IF(OR(F42="",F42=0),"",E42/F42*1000)</f>
        <v/>
      </c>
    </row>
    <row r="43">
      <c r="A43" s="9" t="n"/>
      <c r="B43" s="8" t="n"/>
      <c r="C43" s="8" t="n"/>
      <c r="D43">
        <f>IF(B43="","",IFERROR(VLOOKUP(B43,Baseline!$A:$B,2,FALSE),0))</f>
        <v/>
      </c>
      <c r="E43">
        <f>IF(B43="","",MAX(0,N(C43)-N(D43)))</f>
        <v/>
      </c>
      <c r="F43">
        <f>IF(A43="","",SUMIFS(Videos!$F:$F,Videos!$E:$E,A43))</f>
        <v/>
      </c>
      <c r="G43" s="4">
        <f>IF(OR(F43="",F43=0),"",E43/F43*1000)</f>
        <v/>
      </c>
    </row>
    <row r="44">
      <c r="A44" s="9" t="n"/>
      <c r="B44" s="8" t="n"/>
      <c r="C44" s="8" t="n"/>
      <c r="D44">
        <f>IF(B44="","",IFERROR(VLOOKUP(B44,Baseline!$A:$B,2,FALSE),0))</f>
        <v/>
      </c>
      <c r="E44">
        <f>IF(B44="","",MAX(0,N(C44)-N(D44)))</f>
        <v/>
      </c>
      <c r="F44">
        <f>IF(A44="","",SUMIFS(Videos!$F:$F,Videos!$E:$E,A44))</f>
        <v/>
      </c>
      <c r="G44" s="4">
        <f>IF(OR(F44="",F44=0),"",E44/F44*1000)</f>
        <v/>
      </c>
    </row>
    <row r="45">
      <c r="A45" s="9" t="n"/>
      <c r="B45" s="8" t="n"/>
      <c r="C45" s="8" t="n"/>
      <c r="D45">
        <f>IF(B45="","",IFERROR(VLOOKUP(B45,Baseline!$A:$B,2,FALSE),0))</f>
        <v/>
      </c>
      <c r="E45">
        <f>IF(B45="","",MAX(0,N(C45)-N(D45)))</f>
        <v/>
      </c>
      <c r="F45">
        <f>IF(A45="","",SUMIFS(Videos!$F:$F,Videos!$E:$E,A45))</f>
        <v/>
      </c>
      <c r="G45" s="4">
        <f>IF(OR(F45="",F45=0),"",E45/F45*1000)</f>
        <v/>
      </c>
    </row>
    <row r="46">
      <c r="A46" s="9" t="n"/>
      <c r="B46" s="8" t="n"/>
      <c r="C46" s="8" t="n"/>
      <c r="D46">
        <f>IF(B46="","",IFERROR(VLOOKUP(B46,Baseline!$A:$B,2,FALSE),0))</f>
        <v/>
      </c>
      <c r="E46">
        <f>IF(B46="","",MAX(0,N(C46)-N(D46)))</f>
        <v/>
      </c>
      <c r="F46">
        <f>IF(A46="","",SUMIFS(Videos!$F:$F,Videos!$E:$E,A46))</f>
        <v/>
      </c>
      <c r="G46" s="4">
        <f>IF(OR(F46="",F46=0),"",E46/F46*1000)</f>
        <v/>
      </c>
    </row>
    <row r="47">
      <c r="A47" s="9" t="n"/>
      <c r="B47" s="8" t="n"/>
      <c r="C47" s="8" t="n"/>
      <c r="D47">
        <f>IF(B47="","",IFERROR(VLOOKUP(B47,Baseline!$A:$B,2,FALSE),0))</f>
        <v/>
      </c>
      <c r="E47">
        <f>IF(B47="","",MAX(0,N(C47)-N(D47)))</f>
        <v/>
      </c>
      <c r="F47">
        <f>IF(A47="","",SUMIFS(Videos!$F:$F,Videos!$E:$E,A47))</f>
        <v/>
      </c>
      <c r="G47" s="4">
        <f>IF(OR(F47="",F47=0),"",E47/F47*1000)</f>
        <v/>
      </c>
    </row>
    <row r="48">
      <c r="A48" s="9" t="n"/>
      <c r="B48" s="8" t="n"/>
      <c r="C48" s="8" t="n"/>
      <c r="D48">
        <f>IF(B48="","",IFERROR(VLOOKUP(B48,Baseline!$A:$B,2,FALSE),0))</f>
        <v/>
      </c>
      <c r="E48">
        <f>IF(B48="","",MAX(0,N(C48)-N(D48)))</f>
        <v/>
      </c>
      <c r="F48">
        <f>IF(A48="","",SUMIFS(Videos!$F:$F,Videos!$E:$E,A48))</f>
        <v/>
      </c>
      <c r="G48" s="4">
        <f>IF(OR(F48="",F48=0),"",E48/F48*1000)</f>
        <v/>
      </c>
    </row>
    <row r="49">
      <c r="A49" s="9" t="n"/>
      <c r="B49" s="8" t="n"/>
      <c r="C49" s="8" t="n"/>
      <c r="D49">
        <f>IF(B49="","",IFERROR(VLOOKUP(B49,Baseline!$A:$B,2,FALSE),0))</f>
        <v/>
      </c>
      <c r="E49">
        <f>IF(B49="","",MAX(0,N(C49)-N(D49)))</f>
        <v/>
      </c>
      <c r="F49">
        <f>IF(A49="","",SUMIFS(Videos!$F:$F,Videos!$E:$E,A49))</f>
        <v/>
      </c>
      <c r="G49" s="4">
        <f>IF(OR(F49="",F49=0),"",E49/F49*1000)</f>
        <v/>
      </c>
    </row>
    <row r="50">
      <c r="A50" s="9" t="n"/>
      <c r="B50" s="8" t="n"/>
      <c r="C50" s="8" t="n"/>
      <c r="D50">
        <f>IF(B50="","",IFERROR(VLOOKUP(B50,Baseline!$A:$B,2,FALSE),0))</f>
        <v/>
      </c>
      <c r="E50">
        <f>IF(B50="","",MAX(0,N(C50)-N(D50)))</f>
        <v/>
      </c>
      <c r="F50">
        <f>IF(A50="","",SUMIFS(Videos!$F:$F,Videos!$E:$E,A50))</f>
        <v/>
      </c>
      <c r="G50" s="4">
        <f>IF(OR(F50="",F50=0),"",E50/F50*1000)</f>
        <v/>
      </c>
    </row>
    <row r="51">
      <c r="A51" s="9" t="n"/>
      <c r="B51" s="8" t="n"/>
      <c r="C51" s="8" t="n"/>
      <c r="D51">
        <f>IF(B51="","",IFERROR(VLOOKUP(B51,Baseline!$A:$B,2,FALSE),0))</f>
        <v/>
      </c>
      <c r="E51">
        <f>IF(B51="","",MAX(0,N(C51)-N(D51)))</f>
        <v/>
      </c>
      <c r="F51">
        <f>IF(A51="","",SUMIFS(Videos!$F:$F,Videos!$E:$E,A51))</f>
        <v/>
      </c>
      <c r="G51" s="4">
        <f>IF(OR(F51="",F51=0),"",E51/F51*1000)</f>
        <v/>
      </c>
    </row>
    <row r="52">
      <c r="A52" s="9" t="n"/>
      <c r="B52" s="8" t="n"/>
      <c r="C52" s="8" t="n"/>
      <c r="D52">
        <f>IF(B52="","",IFERROR(VLOOKUP(B52,Baseline!$A:$B,2,FALSE),0))</f>
        <v/>
      </c>
      <c r="E52">
        <f>IF(B52="","",MAX(0,N(C52)-N(D52)))</f>
        <v/>
      </c>
      <c r="F52">
        <f>IF(A52="","",SUMIFS(Videos!$F:$F,Videos!$E:$E,A52))</f>
        <v/>
      </c>
      <c r="G52" s="4">
        <f>IF(OR(F52="",F52=0),"",E52/F52*1000)</f>
        <v/>
      </c>
    </row>
    <row r="53">
      <c r="A53" s="9" t="n"/>
      <c r="B53" s="8" t="n"/>
      <c r="C53" s="8" t="n"/>
      <c r="D53">
        <f>IF(B53="","",IFERROR(VLOOKUP(B53,Baseline!$A:$B,2,FALSE),0))</f>
        <v/>
      </c>
      <c r="E53">
        <f>IF(B53="","",MAX(0,N(C53)-N(D53)))</f>
        <v/>
      </c>
      <c r="F53">
        <f>IF(A53="","",SUMIFS(Videos!$F:$F,Videos!$E:$E,A53))</f>
        <v/>
      </c>
      <c r="G53" s="4">
        <f>IF(OR(F53="",F53=0),"",E53/F53*1000)</f>
        <v/>
      </c>
    </row>
    <row r="54">
      <c r="A54" s="9" t="n"/>
      <c r="B54" s="8" t="n"/>
      <c r="C54" s="8" t="n"/>
      <c r="D54">
        <f>IF(B54="","",IFERROR(VLOOKUP(B54,Baseline!$A:$B,2,FALSE),0))</f>
        <v/>
      </c>
      <c r="E54">
        <f>IF(B54="","",MAX(0,N(C54)-N(D54)))</f>
        <v/>
      </c>
      <c r="F54">
        <f>IF(A54="","",SUMIFS(Videos!$F:$F,Videos!$E:$E,A54))</f>
        <v/>
      </c>
      <c r="G54" s="4">
        <f>IF(OR(F54="",F54=0),"",E54/F54*1000)</f>
        <v/>
      </c>
    </row>
    <row r="55">
      <c r="A55" s="9" t="n"/>
      <c r="B55" s="8" t="n"/>
      <c r="C55" s="8" t="n"/>
      <c r="D55">
        <f>IF(B55="","",IFERROR(VLOOKUP(B55,Baseline!$A:$B,2,FALSE),0))</f>
        <v/>
      </c>
      <c r="E55">
        <f>IF(B55="","",MAX(0,N(C55)-N(D55)))</f>
        <v/>
      </c>
      <c r="F55">
        <f>IF(A55="","",SUMIFS(Videos!$F:$F,Videos!$E:$E,A55))</f>
        <v/>
      </c>
      <c r="G55" s="4">
        <f>IF(OR(F55="",F55=0),"",E55/F55*1000)</f>
        <v/>
      </c>
    </row>
    <row r="56">
      <c r="A56" s="9" t="n"/>
      <c r="B56" s="8" t="n"/>
      <c r="C56" s="8" t="n"/>
      <c r="D56">
        <f>IF(B56="","",IFERROR(VLOOKUP(B56,Baseline!$A:$B,2,FALSE),0))</f>
        <v/>
      </c>
      <c r="E56">
        <f>IF(B56="","",MAX(0,N(C56)-N(D56)))</f>
        <v/>
      </c>
      <c r="F56">
        <f>IF(A56="","",SUMIFS(Videos!$F:$F,Videos!$E:$E,A56))</f>
        <v/>
      </c>
      <c r="G56" s="4">
        <f>IF(OR(F56="",F56=0),"",E56/F56*1000)</f>
        <v/>
      </c>
    </row>
    <row r="57">
      <c r="A57" s="9" t="n"/>
      <c r="B57" s="8" t="n"/>
      <c r="C57" s="8" t="n"/>
      <c r="D57">
        <f>IF(B57="","",IFERROR(VLOOKUP(B57,Baseline!$A:$B,2,FALSE),0))</f>
        <v/>
      </c>
      <c r="E57">
        <f>IF(B57="","",MAX(0,N(C57)-N(D57)))</f>
        <v/>
      </c>
      <c r="F57">
        <f>IF(A57="","",SUMIFS(Videos!$F:$F,Videos!$E:$E,A57))</f>
        <v/>
      </c>
      <c r="G57" s="4">
        <f>IF(OR(F57="",F57=0),"",E57/F57*1000)</f>
        <v/>
      </c>
    </row>
    <row r="58">
      <c r="A58" s="9" t="n"/>
      <c r="B58" s="8" t="n"/>
      <c r="C58" s="8" t="n"/>
      <c r="D58">
        <f>IF(B58="","",IFERROR(VLOOKUP(B58,Baseline!$A:$B,2,FALSE),0))</f>
        <v/>
      </c>
      <c r="E58">
        <f>IF(B58="","",MAX(0,N(C58)-N(D58)))</f>
        <v/>
      </c>
      <c r="F58">
        <f>IF(A58="","",SUMIFS(Videos!$F:$F,Videos!$E:$E,A58))</f>
        <v/>
      </c>
      <c r="G58" s="4">
        <f>IF(OR(F58="",F58=0),"",E58/F58*1000)</f>
        <v/>
      </c>
    </row>
    <row r="59">
      <c r="A59" s="9" t="n"/>
      <c r="B59" s="8" t="n"/>
      <c r="C59" s="8" t="n"/>
      <c r="D59">
        <f>IF(B59="","",IFERROR(VLOOKUP(B59,Baseline!$A:$B,2,FALSE),0))</f>
        <v/>
      </c>
      <c r="E59">
        <f>IF(B59="","",MAX(0,N(C59)-N(D59)))</f>
        <v/>
      </c>
      <c r="F59">
        <f>IF(A59="","",SUMIFS(Videos!$F:$F,Videos!$E:$E,A59))</f>
        <v/>
      </c>
      <c r="G59" s="4">
        <f>IF(OR(F59="",F59=0),"",E59/F59*1000)</f>
        <v/>
      </c>
    </row>
    <row r="60">
      <c r="A60" s="9" t="n"/>
      <c r="B60" s="8" t="n"/>
      <c r="C60" s="8" t="n"/>
      <c r="D60">
        <f>IF(B60="","",IFERROR(VLOOKUP(B60,Baseline!$A:$B,2,FALSE),0))</f>
        <v/>
      </c>
      <c r="E60">
        <f>IF(B60="","",MAX(0,N(C60)-N(D60)))</f>
        <v/>
      </c>
      <c r="F60">
        <f>IF(A60="","",SUMIFS(Videos!$F:$F,Videos!$E:$E,A60))</f>
        <v/>
      </c>
      <c r="G60" s="4">
        <f>IF(OR(F60="",F60=0),"",E60/F60*1000)</f>
        <v/>
      </c>
    </row>
    <row r="61">
      <c r="A61" s="9" t="n"/>
      <c r="B61" s="8" t="n"/>
      <c r="C61" s="8" t="n"/>
      <c r="D61">
        <f>IF(B61="","",IFERROR(VLOOKUP(B61,Baseline!$A:$B,2,FALSE),0))</f>
        <v/>
      </c>
      <c r="E61">
        <f>IF(B61="","",MAX(0,N(C61)-N(D61)))</f>
        <v/>
      </c>
      <c r="F61">
        <f>IF(A61="","",SUMIFS(Videos!$F:$F,Videos!$E:$E,A61))</f>
        <v/>
      </c>
      <c r="G61" s="4">
        <f>IF(OR(F61="",F61=0),"",E61/F61*1000)</f>
        <v/>
      </c>
    </row>
    <row r="62">
      <c r="A62" s="9" t="n"/>
      <c r="B62" s="8" t="n"/>
      <c r="C62" s="8" t="n"/>
      <c r="D62">
        <f>IF(B62="","",IFERROR(VLOOKUP(B62,Baseline!$A:$B,2,FALSE),0))</f>
        <v/>
      </c>
      <c r="E62">
        <f>IF(B62="","",MAX(0,N(C62)-N(D62)))</f>
        <v/>
      </c>
      <c r="F62">
        <f>IF(A62="","",SUMIFS(Videos!$F:$F,Videos!$E:$E,A62))</f>
        <v/>
      </c>
      <c r="G62" s="4">
        <f>IF(OR(F62="",F62=0),"",E62/F62*1000)</f>
        <v/>
      </c>
    </row>
    <row r="63">
      <c r="A63" s="9" t="n"/>
      <c r="B63" s="8" t="n"/>
      <c r="C63" s="8" t="n"/>
      <c r="D63">
        <f>IF(B63="","",IFERROR(VLOOKUP(B63,Baseline!$A:$B,2,FALSE),0))</f>
        <v/>
      </c>
      <c r="E63">
        <f>IF(B63="","",MAX(0,N(C63)-N(D63)))</f>
        <v/>
      </c>
      <c r="F63">
        <f>IF(A63="","",SUMIFS(Videos!$F:$F,Videos!$E:$E,A63))</f>
        <v/>
      </c>
      <c r="G63" s="4">
        <f>IF(OR(F63="",F63=0),"",E63/F63*1000)</f>
        <v/>
      </c>
    </row>
    <row r="64">
      <c r="A64" s="9" t="n"/>
      <c r="B64" s="8" t="n"/>
      <c r="C64" s="8" t="n"/>
      <c r="D64">
        <f>IF(B64="","",IFERROR(VLOOKUP(B64,Baseline!$A:$B,2,FALSE),0))</f>
        <v/>
      </c>
      <c r="E64">
        <f>IF(B64="","",MAX(0,N(C64)-N(D64)))</f>
        <v/>
      </c>
      <c r="F64">
        <f>IF(A64="","",SUMIFS(Videos!$F:$F,Videos!$E:$E,A64))</f>
        <v/>
      </c>
      <c r="G64" s="4">
        <f>IF(OR(F64="",F64=0),"",E64/F64*1000)</f>
        <v/>
      </c>
    </row>
    <row r="65">
      <c r="A65" s="9" t="n"/>
      <c r="B65" s="8" t="n"/>
      <c r="C65" s="8" t="n"/>
      <c r="D65">
        <f>IF(B65="","",IFERROR(VLOOKUP(B65,Baseline!$A:$B,2,FALSE),0))</f>
        <v/>
      </c>
      <c r="E65">
        <f>IF(B65="","",MAX(0,N(C65)-N(D65)))</f>
        <v/>
      </c>
      <c r="F65">
        <f>IF(A65="","",SUMIFS(Videos!$F:$F,Videos!$E:$E,A65))</f>
        <v/>
      </c>
      <c r="G65" s="4">
        <f>IF(OR(F65="",F65=0),"",E65/F65*1000)</f>
        <v/>
      </c>
    </row>
    <row r="66">
      <c r="A66" s="9" t="n"/>
      <c r="B66" s="8" t="n"/>
      <c r="C66" s="8" t="n"/>
      <c r="D66">
        <f>IF(B66="","",IFERROR(VLOOKUP(B66,Baseline!$A:$B,2,FALSE),0))</f>
        <v/>
      </c>
      <c r="E66">
        <f>IF(B66="","",MAX(0,N(C66)-N(D66)))</f>
        <v/>
      </c>
      <c r="F66">
        <f>IF(A66="","",SUMIFS(Videos!$F:$F,Videos!$E:$E,A66))</f>
        <v/>
      </c>
      <c r="G66" s="4">
        <f>IF(OR(F66="",F66=0),"",E66/F66*1000)</f>
        <v/>
      </c>
    </row>
    <row r="67">
      <c r="A67" s="9" t="n"/>
      <c r="B67" s="8" t="n"/>
      <c r="C67" s="8" t="n"/>
      <c r="D67">
        <f>IF(B67="","",IFERROR(VLOOKUP(B67,Baseline!$A:$B,2,FALSE),0))</f>
        <v/>
      </c>
      <c r="E67">
        <f>IF(B67="","",MAX(0,N(C67)-N(D67)))</f>
        <v/>
      </c>
      <c r="F67">
        <f>IF(A67="","",SUMIFS(Videos!$F:$F,Videos!$E:$E,A67))</f>
        <v/>
      </c>
      <c r="G67" s="4">
        <f>IF(OR(F67="",F67=0),"",E67/F67*1000)</f>
        <v/>
      </c>
    </row>
    <row r="68">
      <c r="A68" s="9" t="n"/>
      <c r="B68" s="8" t="n"/>
      <c r="C68" s="8" t="n"/>
      <c r="D68">
        <f>IF(B68="","",IFERROR(VLOOKUP(B68,Baseline!$A:$B,2,FALSE),0))</f>
        <v/>
      </c>
      <c r="E68">
        <f>IF(B68="","",MAX(0,N(C68)-N(D68)))</f>
        <v/>
      </c>
      <c r="F68">
        <f>IF(A68="","",SUMIFS(Videos!$F:$F,Videos!$E:$E,A68))</f>
        <v/>
      </c>
      <c r="G68" s="4">
        <f>IF(OR(F68="",F68=0),"",E68/F68*1000)</f>
        <v/>
      </c>
    </row>
    <row r="69">
      <c r="A69" s="9" t="n"/>
      <c r="B69" s="8" t="n"/>
      <c r="C69" s="8" t="n"/>
      <c r="D69">
        <f>IF(B69="","",IFERROR(VLOOKUP(B69,Baseline!$A:$B,2,FALSE),0))</f>
        <v/>
      </c>
      <c r="E69">
        <f>IF(B69="","",MAX(0,N(C69)-N(D69)))</f>
        <v/>
      </c>
      <c r="F69">
        <f>IF(A69="","",SUMIFS(Videos!$F:$F,Videos!$E:$E,A69))</f>
        <v/>
      </c>
      <c r="G69" s="4">
        <f>IF(OR(F69="",F69=0),"",E69/F69*1000)</f>
        <v/>
      </c>
    </row>
    <row r="70">
      <c r="A70" s="9" t="n"/>
      <c r="B70" s="8" t="n"/>
      <c r="C70" s="8" t="n"/>
      <c r="D70">
        <f>IF(B70="","",IFERROR(VLOOKUP(B70,Baseline!$A:$B,2,FALSE),0))</f>
        <v/>
      </c>
      <c r="E70">
        <f>IF(B70="","",MAX(0,N(C70)-N(D70)))</f>
        <v/>
      </c>
      <c r="F70">
        <f>IF(A70="","",SUMIFS(Videos!$F:$F,Videos!$E:$E,A70))</f>
        <v/>
      </c>
      <c r="G70" s="4">
        <f>IF(OR(F70="",F70=0),"",E70/F70*1000)</f>
        <v/>
      </c>
    </row>
    <row r="71">
      <c r="A71" s="9" t="n"/>
      <c r="B71" s="8" t="n"/>
      <c r="C71" s="8" t="n"/>
      <c r="D71">
        <f>IF(B71="","",IFERROR(VLOOKUP(B71,Baseline!$A:$B,2,FALSE),0))</f>
        <v/>
      </c>
      <c r="E71">
        <f>IF(B71="","",MAX(0,N(C71)-N(D71)))</f>
        <v/>
      </c>
      <c r="F71">
        <f>IF(A71="","",SUMIFS(Videos!$F:$F,Videos!$E:$E,A71))</f>
        <v/>
      </c>
      <c r="G71" s="4">
        <f>IF(OR(F71="",F71=0),"",E71/F71*1000)</f>
        <v/>
      </c>
    </row>
    <row r="72">
      <c r="A72" s="9" t="n"/>
      <c r="B72" s="8" t="n"/>
      <c r="C72" s="8" t="n"/>
      <c r="D72">
        <f>IF(B72="","",IFERROR(VLOOKUP(B72,Baseline!$A:$B,2,FALSE),0))</f>
        <v/>
      </c>
      <c r="E72">
        <f>IF(B72="","",MAX(0,N(C72)-N(D72)))</f>
        <v/>
      </c>
      <c r="F72">
        <f>IF(A72="","",SUMIFS(Videos!$F:$F,Videos!$E:$E,A72))</f>
        <v/>
      </c>
      <c r="G72" s="4">
        <f>IF(OR(F72="",F72=0),"",E72/F72*1000)</f>
        <v/>
      </c>
    </row>
    <row r="73">
      <c r="A73" s="9" t="n"/>
      <c r="B73" s="8" t="n"/>
      <c r="C73" s="8" t="n"/>
      <c r="D73">
        <f>IF(B73="","",IFERROR(VLOOKUP(B73,Baseline!$A:$B,2,FALSE),0))</f>
        <v/>
      </c>
      <c r="E73">
        <f>IF(B73="","",MAX(0,N(C73)-N(D73)))</f>
        <v/>
      </c>
      <c r="F73">
        <f>IF(A73="","",SUMIFS(Videos!$F:$F,Videos!$E:$E,A73))</f>
        <v/>
      </c>
      <c r="G73" s="4">
        <f>IF(OR(F73="",F73=0),"",E73/F73*1000)</f>
        <v/>
      </c>
    </row>
    <row r="74">
      <c r="A74" s="9" t="n"/>
      <c r="B74" s="8" t="n"/>
      <c r="C74" s="8" t="n"/>
      <c r="D74">
        <f>IF(B74="","",IFERROR(VLOOKUP(B74,Baseline!$A:$B,2,FALSE),0))</f>
        <v/>
      </c>
      <c r="E74">
        <f>IF(B74="","",MAX(0,N(C74)-N(D74)))</f>
        <v/>
      </c>
      <c r="F74">
        <f>IF(A74="","",SUMIFS(Videos!$F:$F,Videos!$E:$E,A74))</f>
        <v/>
      </c>
      <c r="G74" s="4">
        <f>IF(OR(F74="",F74=0),"",E74/F74*1000)</f>
        <v/>
      </c>
    </row>
    <row r="75">
      <c r="A75" s="9" t="n"/>
      <c r="B75" s="8" t="n"/>
      <c r="C75" s="8" t="n"/>
      <c r="D75">
        <f>IF(B75="","",IFERROR(VLOOKUP(B75,Baseline!$A:$B,2,FALSE),0))</f>
        <v/>
      </c>
      <c r="E75">
        <f>IF(B75="","",MAX(0,N(C75)-N(D75)))</f>
        <v/>
      </c>
      <c r="F75">
        <f>IF(A75="","",SUMIFS(Videos!$F:$F,Videos!$E:$E,A75))</f>
        <v/>
      </c>
      <c r="G75" s="4">
        <f>IF(OR(F75="",F75=0),"",E75/F75*1000)</f>
        <v/>
      </c>
    </row>
    <row r="76">
      <c r="A76" s="9" t="n"/>
      <c r="B76" s="8" t="n"/>
      <c r="C76" s="8" t="n"/>
      <c r="D76">
        <f>IF(B76="","",IFERROR(VLOOKUP(B76,Baseline!$A:$B,2,FALSE),0))</f>
        <v/>
      </c>
      <c r="E76">
        <f>IF(B76="","",MAX(0,N(C76)-N(D76)))</f>
        <v/>
      </c>
      <c r="F76">
        <f>IF(A76="","",SUMIFS(Videos!$F:$F,Videos!$E:$E,A76))</f>
        <v/>
      </c>
      <c r="G76" s="4">
        <f>IF(OR(F76="",F76=0),"",E76/F76*1000)</f>
        <v/>
      </c>
    </row>
    <row r="77">
      <c r="A77" s="9" t="n"/>
      <c r="B77" s="8" t="n"/>
      <c r="C77" s="8" t="n"/>
      <c r="D77">
        <f>IF(B77="","",IFERROR(VLOOKUP(B77,Baseline!$A:$B,2,FALSE),0))</f>
        <v/>
      </c>
      <c r="E77">
        <f>IF(B77="","",MAX(0,N(C77)-N(D77)))</f>
        <v/>
      </c>
      <c r="F77">
        <f>IF(A77="","",SUMIFS(Videos!$F:$F,Videos!$E:$E,A77))</f>
        <v/>
      </c>
      <c r="G77" s="4">
        <f>IF(OR(F77="",F77=0),"",E77/F77*1000)</f>
        <v/>
      </c>
    </row>
    <row r="78">
      <c r="A78" s="9" t="n"/>
      <c r="B78" s="8" t="n"/>
      <c r="C78" s="8" t="n"/>
      <c r="D78">
        <f>IF(B78="","",IFERROR(VLOOKUP(B78,Baseline!$A:$B,2,FALSE),0))</f>
        <v/>
      </c>
      <c r="E78">
        <f>IF(B78="","",MAX(0,N(C78)-N(D78)))</f>
        <v/>
      </c>
      <c r="F78">
        <f>IF(A78="","",SUMIFS(Videos!$F:$F,Videos!$E:$E,A78))</f>
        <v/>
      </c>
      <c r="G78" s="4">
        <f>IF(OR(F78="",F78=0),"",E78/F78*1000)</f>
        <v/>
      </c>
    </row>
    <row r="79">
      <c r="A79" s="9" t="n"/>
      <c r="B79" s="8" t="n"/>
      <c r="C79" s="8" t="n"/>
      <c r="D79">
        <f>IF(B79="","",IFERROR(VLOOKUP(B79,Baseline!$A:$B,2,FALSE),0))</f>
        <v/>
      </c>
      <c r="E79">
        <f>IF(B79="","",MAX(0,N(C79)-N(D79)))</f>
        <v/>
      </c>
      <c r="F79">
        <f>IF(A79="","",SUMIFS(Videos!$F:$F,Videos!$E:$E,A79))</f>
        <v/>
      </c>
      <c r="G79" s="4">
        <f>IF(OR(F79="",F79=0),"",E79/F79*1000)</f>
        <v/>
      </c>
    </row>
    <row r="80">
      <c r="A80" s="9" t="n"/>
      <c r="B80" s="8" t="n"/>
      <c r="C80" s="8" t="n"/>
      <c r="D80">
        <f>IF(B80="","",IFERROR(VLOOKUP(B80,Baseline!$A:$B,2,FALSE),0))</f>
        <v/>
      </c>
      <c r="E80">
        <f>IF(B80="","",MAX(0,N(C80)-N(D80)))</f>
        <v/>
      </c>
      <c r="F80">
        <f>IF(A80="","",SUMIFS(Videos!$F:$F,Videos!$E:$E,A80))</f>
        <v/>
      </c>
      <c r="G80" s="4">
        <f>IF(OR(F80="",F80=0),"",E80/F80*1000)</f>
        <v/>
      </c>
    </row>
    <row r="81">
      <c r="A81" s="9" t="n"/>
      <c r="B81" s="8" t="n"/>
      <c r="C81" s="8" t="n"/>
      <c r="D81">
        <f>IF(B81="","",IFERROR(VLOOKUP(B81,Baseline!$A:$B,2,FALSE),0))</f>
        <v/>
      </c>
      <c r="E81">
        <f>IF(B81="","",MAX(0,N(C81)-N(D81)))</f>
        <v/>
      </c>
      <c r="F81">
        <f>IF(A81="","",SUMIFS(Videos!$F:$F,Videos!$E:$E,A81))</f>
        <v/>
      </c>
      <c r="G81" s="4">
        <f>IF(OR(F81="",F81=0),"",E81/F81*1000)</f>
        <v/>
      </c>
    </row>
    <row r="82">
      <c r="A82" s="9" t="n"/>
      <c r="B82" s="8" t="n"/>
      <c r="C82" s="8" t="n"/>
      <c r="D82">
        <f>IF(B82="","",IFERROR(VLOOKUP(B82,Baseline!$A:$B,2,FALSE),0))</f>
        <v/>
      </c>
      <c r="E82">
        <f>IF(B82="","",MAX(0,N(C82)-N(D82)))</f>
        <v/>
      </c>
      <c r="F82">
        <f>IF(A82="","",SUMIFS(Videos!$F:$F,Videos!$E:$E,A82))</f>
        <v/>
      </c>
      <c r="G82" s="4">
        <f>IF(OR(F82="",F82=0),"",E82/F82*1000)</f>
        <v/>
      </c>
    </row>
    <row r="83">
      <c r="A83" s="9" t="n"/>
      <c r="B83" s="8" t="n"/>
      <c r="C83" s="8" t="n"/>
      <c r="D83">
        <f>IF(B83="","",IFERROR(VLOOKUP(B83,Baseline!$A:$B,2,FALSE),0))</f>
        <v/>
      </c>
      <c r="E83">
        <f>IF(B83="","",MAX(0,N(C83)-N(D83)))</f>
        <v/>
      </c>
      <c r="F83">
        <f>IF(A83="","",SUMIFS(Videos!$F:$F,Videos!$E:$E,A83))</f>
        <v/>
      </c>
      <c r="G83" s="4">
        <f>IF(OR(F83="",F83=0),"",E83/F83*1000)</f>
        <v/>
      </c>
    </row>
    <row r="84">
      <c r="A84" s="9" t="n"/>
      <c r="B84" s="8" t="n"/>
      <c r="C84" s="8" t="n"/>
      <c r="D84">
        <f>IF(B84="","",IFERROR(VLOOKUP(B84,Baseline!$A:$B,2,FALSE),0))</f>
        <v/>
      </c>
      <c r="E84">
        <f>IF(B84="","",MAX(0,N(C84)-N(D84)))</f>
        <v/>
      </c>
      <c r="F84">
        <f>IF(A84="","",SUMIFS(Videos!$F:$F,Videos!$E:$E,A84))</f>
        <v/>
      </c>
      <c r="G84" s="4">
        <f>IF(OR(F84="",F84=0),"",E84/F84*1000)</f>
        <v/>
      </c>
    </row>
    <row r="85">
      <c r="A85" s="9" t="n"/>
      <c r="B85" s="8" t="n"/>
      <c r="C85" s="8" t="n"/>
      <c r="D85">
        <f>IF(B85="","",IFERROR(VLOOKUP(B85,Baseline!$A:$B,2,FALSE),0))</f>
        <v/>
      </c>
      <c r="E85">
        <f>IF(B85="","",MAX(0,N(C85)-N(D85)))</f>
        <v/>
      </c>
      <c r="F85">
        <f>IF(A85="","",SUMIFS(Videos!$F:$F,Videos!$E:$E,A85))</f>
        <v/>
      </c>
      <c r="G85" s="4">
        <f>IF(OR(F85="",F85=0),"",E85/F85*1000)</f>
        <v/>
      </c>
    </row>
    <row r="86">
      <c r="A86" s="9" t="n"/>
      <c r="B86" s="8" t="n"/>
      <c r="C86" s="8" t="n"/>
      <c r="D86">
        <f>IF(B86="","",IFERROR(VLOOKUP(B86,Baseline!$A:$B,2,FALSE),0))</f>
        <v/>
      </c>
      <c r="E86">
        <f>IF(B86="","",MAX(0,N(C86)-N(D86)))</f>
        <v/>
      </c>
      <c r="F86">
        <f>IF(A86="","",SUMIFS(Videos!$F:$F,Videos!$E:$E,A86))</f>
        <v/>
      </c>
      <c r="G86" s="4">
        <f>IF(OR(F86="",F86=0),"",E86/F86*1000)</f>
        <v/>
      </c>
    </row>
    <row r="87">
      <c r="A87" s="9" t="n"/>
      <c r="B87" s="8" t="n"/>
      <c r="C87" s="8" t="n"/>
      <c r="D87">
        <f>IF(B87="","",IFERROR(VLOOKUP(B87,Baseline!$A:$B,2,FALSE),0))</f>
        <v/>
      </c>
      <c r="E87">
        <f>IF(B87="","",MAX(0,N(C87)-N(D87)))</f>
        <v/>
      </c>
      <c r="F87">
        <f>IF(A87="","",SUMIFS(Videos!$F:$F,Videos!$E:$E,A87))</f>
        <v/>
      </c>
      <c r="G87" s="4">
        <f>IF(OR(F87="",F87=0),"",E87/F87*1000)</f>
        <v/>
      </c>
    </row>
    <row r="88">
      <c r="A88" s="9" t="n"/>
      <c r="B88" s="8" t="n"/>
      <c r="C88" s="8" t="n"/>
      <c r="D88">
        <f>IF(B88="","",IFERROR(VLOOKUP(B88,Baseline!$A:$B,2,FALSE),0))</f>
        <v/>
      </c>
      <c r="E88">
        <f>IF(B88="","",MAX(0,N(C88)-N(D88)))</f>
        <v/>
      </c>
      <c r="F88">
        <f>IF(A88="","",SUMIFS(Videos!$F:$F,Videos!$E:$E,A88))</f>
        <v/>
      </c>
      <c r="G88" s="4">
        <f>IF(OR(F88="",F88=0),"",E88/F88*1000)</f>
        <v/>
      </c>
    </row>
    <row r="89">
      <c r="A89" s="9" t="n"/>
      <c r="B89" s="8" t="n"/>
      <c r="C89" s="8" t="n"/>
      <c r="D89">
        <f>IF(B89="","",IFERROR(VLOOKUP(B89,Baseline!$A:$B,2,FALSE),0))</f>
        <v/>
      </c>
      <c r="E89">
        <f>IF(B89="","",MAX(0,N(C89)-N(D89)))</f>
        <v/>
      </c>
      <c r="F89">
        <f>IF(A89="","",SUMIFS(Videos!$F:$F,Videos!$E:$E,A89))</f>
        <v/>
      </c>
      <c r="G89" s="4">
        <f>IF(OR(F89="",F89=0),"",E89/F89*1000)</f>
        <v/>
      </c>
    </row>
    <row r="90">
      <c r="A90" s="9" t="n"/>
      <c r="B90" s="8" t="n"/>
      <c r="C90" s="8" t="n"/>
      <c r="D90">
        <f>IF(B90="","",IFERROR(VLOOKUP(B90,Baseline!$A:$B,2,FALSE),0))</f>
        <v/>
      </c>
      <c r="E90">
        <f>IF(B90="","",MAX(0,N(C90)-N(D90)))</f>
        <v/>
      </c>
      <c r="F90">
        <f>IF(A90="","",SUMIFS(Videos!$F:$F,Videos!$E:$E,A90))</f>
        <v/>
      </c>
      <c r="G90" s="4">
        <f>IF(OR(F90="",F90=0),"",E90/F90*1000)</f>
        <v/>
      </c>
    </row>
    <row r="91">
      <c r="A91" s="9" t="n"/>
      <c r="B91" s="8" t="n"/>
      <c r="C91" s="8" t="n"/>
      <c r="D91">
        <f>IF(B91="","",IFERROR(VLOOKUP(B91,Baseline!$A:$B,2,FALSE),0))</f>
        <v/>
      </c>
      <c r="E91">
        <f>IF(B91="","",MAX(0,N(C91)-N(D91)))</f>
        <v/>
      </c>
      <c r="F91">
        <f>IF(A91="","",SUMIFS(Videos!$F:$F,Videos!$E:$E,A91))</f>
        <v/>
      </c>
      <c r="G91" s="4">
        <f>IF(OR(F91="",F91=0),"",E91/F91*1000)</f>
        <v/>
      </c>
    </row>
    <row r="92">
      <c r="A92" s="9" t="n"/>
      <c r="B92" s="8" t="n"/>
      <c r="C92" s="8" t="n"/>
      <c r="D92">
        <f>IF(B92="","",IFERROR(VLOOKUP(B92,Baseline!$A:$B,2,FALSE),0))</f>
        <v/>
      </c>
      <c r="E92">
        <f>IF(B92="","",MAX(0,N(C92)-N(D92)))</f>
        <v/>
      </c>
      <c r="F92">
        <f>IF(A92="","",SUMIFS(Videos!$F:$F,Videos!$E:$E,A92))</f>
        <v/>
      </c>
      <c r="G92" s="4">
        <f>IF(OR(F92="",F92=0),"",E92/F92*1000)</f>
        <v/>
      </c>
    </row>
    <row r="93">
      <c r="A93" s="9" t="n"/>
      <c r="B93" s="8" t="n"/>
      <c r="C93" s="8" t="n"/>
      <c r="D93">
        <f>IF(B93="","",IFERROR(VLOOKUP(B93,Baseline!$A:$B,2,FALSE),0))</f>
        <v/>
      </c>
      <c r="E93">
        <f>IF(B93="","",MAX(0,N(C93)-N(D93)))</f>
        <v/>
      </c>
      <c r="F93">
        <f>IF(A93="","",SUMIFS(Videos!$F:$F,Videos!$E:$E,A93))</f>
        <v/>
      </c>
      <c r="G93" s="4">
        <f>IF(OR(F93="",F93=0),"",E93/F93*1000)</f>
        <v/>
      </c>
    </row>
    <row r="94">
      <c r="A94" s="9" t="n"/>
      <c r="B94" s="8" t="n"/>
      <c r="C94" s="8" t="n"/>
      <c r="D94">
        <f>IF(B94="","",IFERROR(VLOOKUP(B94,Baseline!$A:$B,2,FALSE),0))</f>
        <v/>
      </c>
      <c r="E94">
        <f>IF(B94="","",MAX(0,N(C94)-N(D94)))</f>
        <v/>
      </c>
      <c r="F94">
        <f>IF(A94="","",SUMIFS(Videos!$F:$F,Videos!$E:$E,A94))</f>
        <v/>
      </c>
      <c r="G94" s="4">
        <f>IF(OR(F94="",F94=0),"",E94/F94*1000)</f>
        <v/>
      </c>
    </row>
    <row r="95">
      <c r="A95" s="9" t="n"/>
      <c r="B95" s="8" t="n"/>
      <c r="C95" s="8" t="n"/>
      <c r="D95">
        <f>IF(B95="","",IFERROR(VLOOKUP(B95,Baseline!$A:$B,2,FALSE),0))</f>
        <v/>
      </c>
      <c r="E95">
        <f>IF(B95="","",MAX(0,N(C95)-N(D95)))</f>
        <v/>
      </c>
      <c r="F95">
        <f>IF(A95="","",SUMIFS(Videos!$F:$F,Videos!$E:$E,A95))</f>
        <v/>
      </c>
      <c r="G95" s="4">
        <f>IF(OR(F95="",F95=0),"",E95/F95*1000)</f>
        <v/>
      </c>
    </row>
    <row r="96">
      <c r="A96" s="9" t="n"/>
      <c r="B96" s="8" t="n"/>
      <c r="C96" s="8" t="n"/>
      <c r="D96">
        <f>IF(B96="","",IFERROR(VLOOKUP(B96,Baseline!$A:$B,2,FALSE),0))</f>
        <v/>
      </c>
      <c r="E96">
        <f>IF(B96="","",MAX(0,N(C96)-N(D96)))</f>
        <v/>
      </c>
      <c r="F96">
        <f>IF(A96="","",SUMIFS(Videos!$F:$F,Videos!$E:$E,A96))</f>
        <v/>
      </c>
      <c r="G96" s="4">
        <f>IF(OR(F96="",F96=0),"",E96/F96*1000)</f>
        <v/>
      </c>
    </row>
    <row r="97">
      <c r="A97" s="9" t="n"/>
      <c r="B97" s="8" t="n"/>
      <c r="C97" s="8" t="n"/>
      <c r="D97">
        <f>IF(B97="","",IFERROR(VLOOKUP(B97,Baseline!$A:$B,2,FALSE),0))</f>
        <v/>
      </c>
      <c r="E97">
        <f>IF(B97="","",MAX(0,N(C97)-N(D97)))</f>
        <v/>
      </c>
      <c r="F97">
        <f>IF(A97="","",SUMIFS(Videos!$F:$F,Videos!$E:$E,A97))</f>
        <v/>
      </c>
      <c r="G97" s="4">
        <f>IF(OR(F97="",F97=0),"",E97/F97*1000)</f>
        <v/>
      </c>
    </row>
    <row r="98">
      <c r="A98" s="9" t="n"/>
      <c r="B98" s="8" t="n"/>
      <c r="C98" s="8" t="n"/>
      <c r="D98">
        <f>IF(B98="","",IFERROR(VLOOKUP(B98,Baseline!$A:$B,2,FALSE),0))</f>
        <v/>
      </c>
      <c r="E98">
        <f>IF(B98="","",MAX(0,N(C98)-N(D98)))</f>
        <v/>
      </c>
      <c r="F98">
        <f>IF(A98="","",SUMIFS(Videos!$F:$F,Videos!$E:$E,A98))</f>
        <v/>
      </c>
      <c r="G98" s="4">
        <f>IF(OR(F98="",F98=0),"",E98/F98*1000)</f>
        <v/>
      </c>
    </row>
    <row r="99">
      <c r="A99" s="9" t="n"/>
      <c r="B99" s="8" t="n"/>
      <c r="C99" s="8" t="n"/>
      <c r="D99">
        <f>IF(B99="","",IFERROR(VLOOKUP(B99,Baseline!$A:$B,2,FALSE),0))</f>
        <v/>
      </c>
      <c r="E99">
        <f>IF(B99="","",MAX(0,N(C99)-N(D99)))</f>
        <v/>
      </c>
      <c r="F99">
        <f>IF(A99="","",SUMIFS(Videos!$F:$F,Videos!$E:$E,A99))</f>
        <v/>
      </c>
      <c r="G99" s="4">
        <f>IF(OR(F99="",F99=0),"",E99/F99*1000)</f>
        <v/>
      </c>
    </row>
    <row r="100">
      <c r="A100" s="9" t="n"/>
      <c r="B100" s="8" t="n"/>
      <c r="C100" s="8" t="n"/>
      <c r="D100">
        <f>IF(B100="","",IFERROR(VLOOKUP(B100,Baseline!$A:$B,2,FALSE),0))</f>
        <v/>
      </c>
      <c r="E100">
        <f>IF(B100="","",MAX(0,N(C100)-N(D100)))</f>
        <v/>
      </c>
      <c r="F100">
        <f>IF(A100="","",SUMIFS(Videos!$F:$F,Videos!$E:$E,A100))</f>
        <v/>
      </c>
      <c r="G100" s="4">
        <f>IF(OR(F100="",F100=0),"",E100/F100*1000)</f>
        <v/>
      </c>
    </row>
    <row r="101">
      <c r="A101" s="9" t="n"/>
      <c r="B101" s="8" t="n"/>
      <c r="C101" s="8" t="n"/>
      <c r="D101">
        <f>IF(B101="","",IFERROR(VLOOKUP(B101,Baseline!$A:$B,2,FALSE),0))</f>
        <v/>
      </c>
      <c r="E101">
        <f>IF(B101="","",MAX(0,N(C101)-N(D101)))</f>
        <v/>
      </c>
      <c r="F101">
        <f>IF(A101="","",SUMIFS(Videos!$F:$F,Videos!$E:$E,A101))</f>
        <v/>
      </c>
      <c r="G101" s="4">
        <f>IF(OR(F101="",F101=0),"",E101/F101*1000)</f>
        <v/>
      </c>
    </row>
    <row r="102">
      <c r="A102" s="9" t="n"/>
      <c r="B102" s="8" t="n"/>
      <c r="C102" s="8" t="n"/>
      <c r="D102">
        <f>IF(B102="","",IFERROR(VLOOKUP(B102,Baseline!$A:$B,2,FALSE),0))</f>
        <v/>
      </c>
      <c r="E102">
        <f>IF(B102="","",MAX(0,N(C102)-N(D102)))</f>
        <v/>
      </c>
      <c r="F102">
        <f>IF(A102="","",SUMIFS(Videos!$F:$F,Videos!$E:$E,A102))</f>
        <v/>
      </c>
      <c r="G102" s="4">
        <f>IF(OR(F102="",F102=0),"",E102/F102*1000)</f>
        <v/>
      </c>
    </row>
    <row r="103">
      <c r="A103" s="9" t="n"/>
      <c r="B103" s="8" t="n"/>
      <c r="C103" s="8" t="n"/>
      <c r="D103">
        <f>IF(B103="","",IFERROR(VLOOKUP(B103,Baseline!$A:$B,2,FALSE),0))</f>
        <v/>
      </c>
      <c r="E103">
        <f>IF(B103="","",MAX(0,N(C103)-N(D103)))</f>
        <v/>
      </c>
      <c r="F103">
        <f>IF(A103="","",SUMIFS(Videos!$F:$F,Videos!$E:$E,A103))</f>
        <v/>
      </c>
      <c r="G103" s="4">
        <f>IF(OR(F103="",F103=0),"",E103/F103*1000)</f>
        <v/>
      </c>
    </row>
    <row r="104">
      <c r="A104" s="9" t="n"/>
      <c r="B104" s="8" t="n"/>
      <c r="C104" s="8" t="n"/>
      <c r="D104">
        <f>IF(B104="","",IFERROR(VLOOKUP(B104,Baseline!$A:$B,2,FALSE),0))</f>
        <v/>
      </c>
      <c r="E104">
        <f>IF(B104="","",MAX(0,N(C104)-N(D104)))</f>
        <v/>
      </c>
      <c r="F104">
        <f>IF(A104="","",SUMIFS(Videos!$F:$F,Videos!$E:$E,A104))</f>
        <v/>
      </c>
      <c r="G104" s="4">
        <f>IF(OR(F104="",F104=0),"",E104/F104*1000)</f>
        <v/>
      </c>
    </row>
    <row r="105">
      <c r="A105" s="9" t="n"/>
      <c r="B105" s="8" t="n"/>
      <c r="C105" s="8" t="n"/>
      <c r="D105">
        <f>IF(B105="","",IFERROR(VLOOKUP(B105,Baseline!$A:$B,2,FALSE),0))</f>
        <v/>
      </c>
      <c r="E105">
        <f>IF(B105="","",MAX(0,N(C105)-N(D105)))</f>
        <v/>
      </c>
      <c r="F105">
        <f>IF(A105="","",SUMIFS(Videos!$F:$F,Videos!$E:$E,A105))</f>
        <v/>
      </c>
      <c r="G105" s="4">
        <f>IF(OR(F105="",F105=0),"",E105/F105*1000)</f>
        <v/>
      </c>
    </row>
    <row r="106">
      <c r="A106" s="9" t="n"/>
      <c r="B106" s="8" t="n"/>
      <c r="C106" s="8" t="n"/>
      <c r="D106">
        <f>IF(B106="","",IFERROR(VLOOKUP(B106,Baseline!$A:$B,2,FALSE),0))</f>
        <v/>
      </c>
      <c r="E106">
        <f>IF(B106="","",MAX(0,N(C106)-N(D106)))</f>
        <v/>
      </c>
      <c r="F106">
        <f>IF(A106="","",SUMIFS(Videos!$F:$F,Videos!$E:$E,A106))</f>
        <v/>
      </c>
      <c r="G106" s="4">
        <f>IF(OR(F106="",F106=0),"",E106/F106*1000)</f>
        <v/>
      </c>
    </row>
    <row r="107">
      <c r="A107" s="9" t="n"/>
      <c r="B107" s="8" t="n"/>
      <c r="C107" s="8" t="n"/>
      <c r="D107">
        <f>IF(B107="","",IFERROR(VLOOKUP(B107,Baseline!$A:$B,2,FALSE),0))</f>
        <v/>
      </c>
      <c r="E107">
        <f>IF(B107="","",MAX(0,N(C107)-N(D107)))</f>
        <v/>
      </c>
      <c r="F107">
        <f>IF(A107="","",SUMIFS(Videos!$F:$F,Videos!$E:$E,A107))</f>
        <v/>
      </c>
      <c r="G107" s="4">
        <f>IF(OR(F107="",F107=0),"",E107/F107*1000)</f>
        <v/>
      </c>
    </row>
    <row r="108">
      <c r="A108" s="9" t="n"/>
      <c r="B108" s="8" t="n"/>
      <c r="C108" s="8" t="n"/>
      <c r="D108">
        <f>IF(B108="","",IFERROR(VLOOKUP(B108,Baseline!$A:$B,2,FALSE),0))</f>
        <v/>
      </c>
      <c r="E108">
        <f>IF(B108="","",MAX(0,N(C108)-N(D108)))</f>
        <v/>
      </c>
      <c r="F108">
        <f>IF(A108="","",SUMIFS(Videos!$F:$F,Videos!$E:$E,A108))</f>
        <v/>
      </c>
      <c r="G108" s="4">
        <f>IF(OR(F108="",F108=0),"",E108/F108*1000)</f>
        <v/>
      </c>
    </row>
    <row r="109">
      <c r="A109" s="9" t="n"/>
      <c r="B109" s="8" t="n"/>
      <c r="C109" s="8" t="n"/>
      <c r="D109">
        <f>IF(B109="","",IFERROR(VLOOKUP(B109,Baseline!$A:$B,2,FALSE),0))</f>
        <v/>
      </c>
      <c r="E109">
        <f>IF(B109="","",MAX(0,N(C109)-N(D109)))</f>
        <v/>
      </c>
      <c r="F109">
        <f>IF(A109="","",SUMIFS(Videos!$F:$F,Videos!$E:$E,A109))</f>
        <v/>
      </c>
      <c r="G109" s="4">
        <f>IF(OR(F109="",F109=0),"",E109/F109*1000)</f>
        <v/>
      </c>
    </row>
    <row r="110">
      <c r="A110" s="9" t="n"/>
      <c r="B110" s="8" t="n"/>
      <c r="C110" s="8" t="n"/>
      <c r="D110">
        <f>IF(B110="","",IFERROR(VLOOKUP(B110,Baseline!$A:$B,2,FALSE),0))</f>
        <v/>
      </c>
      <c r="E110">
        <f>IF(B110="","",MAX(0,N(C110)-N(D110)))</f>
        <v/>
      </c>
      <c r="F110">
        <f>IF(A110="","",SUMIFS(Videos!$F:$F,Videos!$E:$E,A110))</f>
        <v/>
      </c>
      <c r="G110" s="4">
        <f>IF(OR(F110="",F110=0),"",E110/F110*1000)</f>
        <v/>
      </c>
    </row>
    <row r="111">
      <c r="A111" s="9" t="n"/>
      <c r="B111" s="8" t="n"/>
      <c r="C111" s="8" t="n"/>
      <c r="D111">
        <f>IF(B111="","",IFERROR(VLOOKUP(B111,Baseline!$A:$B,2,FALSE),0))</f>
        <v/>
      </c>
      <c r="E111">
        <f>IF(B111="","",MAX(0,N(C111)-N(D111)))</f>
        <v/>
      </c>
      <c r="F111">
        <f>IF(A111="","",SUMIFS(Videos!$F:$F,Videos!$E:$E,A111))</f>
        <v/>
      </c>
      <c r="G111" s="4">
        <f>IF(OR(F111="",F111=0),"",E111/F111*1000)</f>
        <v/>
      </c>
    </row>
    <row r="112">
      <c r="A112" s="9" t="n"/>
      <c r="B112" s="8" t="n"/>
      <c r="C112" s="8" t="n"/>
      <c r="D112">
        <f>IF(B112="","",IFERROR(VLOOKUP(B112,Baseline!$A:$B,2,FALSE),0))</f>
        <v/>
      </c>
      <c r="E112">
        <f>IF(B112="","",MAX(0,N(C112)-N(D112)))</f>
        <v/>
      </c>
      <c r="F112">
        <f>IF(A112="","",SUMIFS(Videos!$F:$F,Videos!$E:$E,A112))</f>
        <v/>
      </c>
      <c r="G112" s="4">
        <f>IF(OR(F112="",F112=0),"",E112/F112*1000)</f>
        <v/>
      </c>
    </row>
    <row r="113">
      <c r="A113" s="9" t="n"/>
      <c r="B113" s="8" t="n"/>
      <c r="C113" s="8" t="n"/>
      <c r="D113">
        <f>IF(B113="","",IFERROR(VLOOKUP(B113,Baseline!$A:$B,2,FALSE),0))</f>
        <v/>
      </c>
      <c r="E113">
        <f>IF(B113="","",MAX(0,N(C113)-N(D113)))</f>
        <v/>
      </c>
      <c r="F113">
        <f>IF(A113="","",SUMIFS(Videos!$F:$F,Videos!$E:$E,A113))</f>
        <v/>
      </c>
      <c r="G113" s="4">
        <f>IF(OR(F113="",F113=0),"",E113/F113*1000)</f>
        <v/>
      </c>
    </row>
    <row r="114">
      <c r="A114" s="9" t="n"/>
      <c r="B114" s="8" t="n"/>
      <c r="C114" s="8" t="n"/>
      <c r="D114">
        <f>IF(B114="","",IFERROR(VLOOKUP(B114,Baseline!$A:$B,2,FALSE),0))</f>
        <v/>
      </c>
      <c r="E114">
        <f>IF(B114="","",MAX(0,N(C114)-N(D114)))</f>
        <v/>
      </c>
      <c r="F114">
        <f>IF(A114="","",SUMIFS(Videos!$F:$F,Videos!$E:$E,A114))</f>
        <v/>
      </c>
      <c r="G114" s="4">
        <f>IF(OR(F114="",F114=0),"",E114/F114*1000)</f>
        <v/>
      </c>
    </row>
    <row r="115">
      <c r="A115" s="9" t="n"/>
      <c r="B115" s="8" t="n"/>
      <c r="C115" s="8" t="n"/>
      <c r="D115">
        <f>IF(B115="","",IFERROR(VLOOKUP(B115,Baseline!$A:$B,2,FALSE),0))</f>
        <v/>
      </c>
      <c r="E115">
        <f>IF(B115="","",MAX(0,N(C115)-N(D115)))</f>
        <v/>
      </c>
      <c r="F115">
        <f>IF(A115="","",SUMIFS(Videos!$F:$F,Videos!$E:$E,A115))</f>
        <v/>
      </c>
      <c r="G115" s="4">
        <f>IF(OR(F115="",F115=0),"",E115/F115*1000)</f>
        <v/>
      </c>
    </row>
    <row r="116">
      <c r="A116" s="9" t="n"/>
      <c r="B116" s="8" t="n"/>
      <c r="C116" s="8" t="n"/>
      <c r="D116">
        <f>IF(B116="","",IFERROR(VLOOKUP(B116,Baseline!$A:$B,2,FALSE),0))</f>
        <v/>
      </c>
      <c r="E116">
        <f>IF(B116="","",MAX(0,N(C116)-N(D116)))</f>
        <v/>
      </c>
      <c r="F116">
        <f>IF(A116="","",SUMIFS(Videos!$F:$F,Videos!$E:$E,A116))</f>
        <v/>
      </c>
      <c r="G116" s="4">
        <f>IF(OR(F116="",F116=0),"",E116/F116*1000)</f>
        <v/>
      </c>
    </row>
    <row r="117">
      <c r="A117" s="9" t="n"/>
      <c r="B117" s="8" t="n"/>
      <c r="C117" s="8" t="n"/>
      <c r="D117">
        <f>IF(B117="","",IFERROR(VLOOKUP(B117,Baseline!$A:$B,2,FALSE),0))</f>
        <v/>
      </c>
      <c r="E117">
        <f>IF(B117="","",MAX(0,N(C117)-N(D117)))</f>
        <v/>
      </c>
      <c r="F117">
        <f>IF(A117="","",SUMIFS(Videos!$F:$F,Videos!$E:$E,A117))</f>
        <v/>
      </c>
      <c r="G117" s="4">
        <f>IF(OR(F117="",F117=0),"",E117/F117*1000)</f>
        <v/>
      </c>
    </row>
    <row r="118">
      <c r="A118" s="9" t="n"/>
      <c r="B118" s="8" t="n"/>
      <c r="C118" s="8" t="n"/>
      <c r="D118">
        <f>IF(B118="","",IFERROR(VLOOKUP(B118,Baseline!$A:$B,2,FALSE),0))</f>
        <v/>
      </c>
      <c r="E118">
        <f>IF(B118="","",MAX(0,N(C118)-N(D118)))</f>
        <v/>
      </c>
      <c r="F118">
        <f>IF(A118="","",SUMIFS(Videos!$F:$F,Videos!$E:$E,A118))</f>
        <v/>
      </c>
      <c r="G118" s="4">
        <f>IF(OR(F118="",F118=0),"",E118/F118*1000)</f>
        <v/>
      </c>
    </row>
    <row r="119">
      <c r="A119" s="9" t="n"/>
      <c r="B119" s="8" t="n"/>
      <c r="C119" s="8" t="n"/>
      <c r="D119">
        <f>IF(B119="","",IFERROR(VLOOKUP(B119,Baseline!$A:$B,2,FALSE),0))</f>
        <v/>
      </c>
      <c r="E119">
        <f>IF(B119="","",MAX(0,N(C119)-N(D119)))</f>
        <v/>
      </c>
      <c r="F119">
        <f>IF(A119="","",SUMIFS(Videos!$F:$F,Videos!$E:$E,A119))</f>
        <v/>
      </c>
      <c r="G119" s="4">
        <f>IF(OR(F119="",F119=0),"",E119/F119*1000)</f>
        <v/>
      </c>
    </row>
    <row r="120">
      <c r="A120" s="9" t="n"/>
      <c r="B120" s="8" t="n"/>
      <c r="C120" s="8" t="n"/>
      <c r="D120">
        <f>IF(B120="","",IFERROR(VLOOKUP(B120,Baseline!$A:$B,2,FALSE),0))</f>
        <v/>
      </c>
      <c r="E120">
        <f>IF(B120="","",MAX(0,N(C120)-N(D120)))</f>
        <v/>
      </c>
      <c r="F120">
        <f>IF(A120="","",SUMIFS(Videos!$F:$F,Videos!$E:$E,A120))</f>
        <v/>
      </c>
      <c r="G120" s="4">
        <f>IF(OR(F120="",F120=0),"",E120/F120*1000)</f>
        <v/>
      </c>
    </row>
    <row r="121">
      <c r="A121" s="9" t="n"/>
      <c r="B121" s="8" t="n"/>
      <c r="C121" s="8" t="n"/>
      <c r="D121">
        <f>IF(B121="","",IFERROR(VLOOKUP(B121,Baseline!$A:$B,2,FALSE),0))</f>
        <v/>
      </c>
      <c r="E121">
        <f>IF(B121="","",MAX(0,N(C121)-N(D121)))</f>
        <v/>
      </c>
      <c r="F121">
        <f>IF(A121="","",SUMIFS(Videos!$F:$F,Videos!$E:$E,A121))</f>
        <v/>
      </c>
      <c r="G121" s="4">
        <f>IF(OR(F121="",F121=0),"",E121/F121*1000)</f>
        <v/>
      </c>
    </row>
    <row r="122">
      <c r="A122" s="9" t="n"/>
      <c r="B122" s="8" t="n"/>
      <c r="C122" s="8" t="n"/>
      <c r="D122">
        <f>IF(B122="","",IFERROR(VLOOKUP(B122,Baseline!$A:$B,2,FALSE),0))</f>
        <v/>
      </c>
      <c r="E122">
        <f>IF(B122="","",MAX(0,N(C122)-N(D122)))</f>
        <v/>
      </c>
      <c r="F122">
        <f>IF(A122="","",SUMIFS(Videos!$F:$F,Videos!$E:$E,A122))</f>
        <v/>
      </c>
      <c r="G122" s="4">
        <f>IF(OR(F122="",F122=0),"",E122/F122*1000)</f>
        <v/>
      </c>
    </row>
    <row r="123">
      <c r="A123" s="9" t="n"/>
      <c r="B123" s="8" t="n"/>
      <c r="C123" s="8" t="n"/>
      <c r="D123">
        <f>IF(B123="","",IFERROR(VLOOKUP(B123,Baseline!$A:$B,2,FALSE),0))</f>
        <v/>
      </c>
      <c r="E123">
        <f>IF(B123="","",MAX(0,N(C123)-N(D123)))</f>
        <v/>
      </c>
      <c r="F123">
        <f>IF(A123="","",SUMIFS(Videos!$F:$F,Videos!$E:$E,A123))</f>
        <v/>
      </c>
      <c r="G123" s="4">
        <f>IF(OR(F123="",F123=0),"",E123/F123*1000)</f>
        <v/>
      </c>
    </row>
    <row r="124">
      <c r="A124" s="9" t="n"/>
      <c r="B124" s="8" t="n"/>
      <c r="C124" s="8" t="n"/>
      <c r="D124">
        <f>IF(B124="","",IFERROR(VLOOKUP(B124,Baseline!$A:$B,2,FALSE),0))</f>
        <v/>
      </c>
      <c r="E124">
        <f>IF(B124="","",MAX(0,N(C124)-N(D124)))</f>
        <v/>
      </c>
      <c r="F124">
        <f>IF(A124="","",SUMIFS(Videos!$F:$F,Videos!$E:$E,A124))</f>
        <v/>
      </c>
      <c r="G124" s="4">
        <f>IF(OR(F124="",F124=0),"",E124/F124*1000)</f>
        <v/>
      </c>
    </row>
    <row r="125">
      <c r="A125" s="9" t="n"/>
      <c r="B125" s="8" t="n"/>
      <c r="C125" s="8" t="n"/>
      <c r="D125">
        <f>IF(B125="","",IFERROR(VLOOKUP(B125,Baseline!$A:$B,2,FALSE),0))</f>
        <v/>
      </c>
      <c r="E125">
        <f>IF(B125="","",MAX(0,N(C125)-N(D125)))</f>
        <v/>
      </c>
      <c r="F125">
        <f>IF(A125="","",SUMIFS(Videos!$F:$F,Videos!$E:$E,A125))</f>
        <v/>
      </c>
      <c r="G125" s="4">
        <f>IF(OR(F125="",F125=0),"",E125/F125*1000)</f>
        <v/>
      </c>
    </row>
    <row r="126">
      <c r="A126" s="9" t="n"/>
      <c r="B126" s="8" t="n"/>
      <c r="C126" s="8" t="n"/>
      <c r="D126">
        <f>IF(B126="","",IFERROR(VLOOKUP(B126,Baseline!$A:$B,2,FALSE),0))</f>
        <v/>
      </c>
      <c r="E126">
        <f>IF(B126="","",MAX(0,N(C126)-N(D126)))</f>
        <v/>
      </c>
      <c r="F126">
        <f>IF(A126="","",SUMIFS(Videos!$F:$F,Videos!$E:$E,A126))</f>
        <v/>
      </c>
      <c r="G126" s="4">
        <f>IF(OR(F126="",F126=0),"",E126/F126*1000)</f>
        <v/>
      </c>
    </row>
    <row r="127">
      <c r="A127" s="9" t="n"/>
      <c r="B127" s="8" t="n"/>
      <c r="C127" s="8" t="n"/>
      <c r="D127">
        <f>IF(B127="","",IFERROR(VLOOKUP(B127,Baseline!$A:$B,2,FALSE),0))</f>
        <v/>
      </c>
      <c r="E127">
        <f>IF(B127="","",MAX(0,N(C127)-N(D127)))</f>
        <v/>
      </c>
      <c r="F127">
        <f>IF(A127="","",SUMIFS(Videos!$F:$F,Videos!$E:$E,A127))</f>
        <v/>
      </c>
      <c r="G127" s="4">
        <f>IF(OR(F127="",F127=0),"",E127/F127*1000)</f>
        <v/>
      </c>
    </row>
    <row r="128">
      <c r="A128" s="9" t="n"/>
      <c r="B128" s="8" t="n"/>
      <c r="C128" s="8" t="n"/>
      <c r="D128">
        <f>IF(B128="","",IFERROR(VLOOKUP(B128,Baseline!$A:$B,2,FALSE),0))</f>
        <v/>
      </c>
      <c r="E128">
        <f>IF(B128="","",MAX(0,N(C128)-N(D128)))</f>
        <v/>
      </c>
      <c r="F128">
        <f>IF(A128="","",SUMIFS(Videos!$F:$F,Videos!$E:$E,A128))</f>
        <v/>
      </c>
      <c r="G128" s="4">
        <f>IF(OR(F128="",F128=0),"",E128/F128*1000)</f>
        <v/>
      </c>
    </row>
    <row r="129">
      <c r="A129" s="9" t="n"/>
      <c r="B129" s="8" t="n"/>
      <c r="C129" s="8" t="n"/>
      <c r="D129">
        <f>IF(B129="","",IFERROR(VLOOKUP(B129,Baseline!$A:$B,2,FALSE),0))</f>
        <v/>
      </c>
      <c r="E129">
        <f>IF(B129="","",MAX(0,N(C129)-N(D129)))</f>
        <v/>
      </c>
      <c r="F129">
        <f>IF(A129="","",SUMIFS(Videos!$F:$F,Videos!$E:$E,A129))</f>
        <v/>
      </c>
      <c r="G129" s="4">
        <f>IF(OR(F129="",F129=0),"",E129/F129*1000)</f>
        <v/>
      </c>
    </row>
    <row r="130">
      <c r="A130" s="9" t="n"/>
      <c r="B130" s="8" t="n"/>
      <c r="C130" s="8" t="n"/>
      <c r="D130">
        <f>IF(B130="","",IFERROR(VLOOKUP(B130,Baseline!$A:$B,2,FALSE),0))</f>
        <v/>
      </c>
      <c r="E130">
        <f>IF(B130="","",MAX(0,N(C130)-N(D130)))</f>
        <v/>
      </c>
      <c r="F130">
        <f>IF(A130="","",SUMIFS(Videos!$F:$F,Videos!$E:$E,A130))</f>
        <v/>
      </c>
      <c r="G130" s="4">
        <f>IF(OR(F130="",F130=0),"",E130/F130*1000)</f>
        <v/>
      </c>
    </row>
    <row r="131">
      <c r="A131" s="9" t="n"/>
      <c r="B131" s="8" t="n"/>
      <c r="C131" s="8" t="n"/>
      <c r="D131">
        <f>IF(B131="","",IFERROR(VLOOKUP(B131,Baseline!$A:$B,2,FALSE),0))</f>
        <v/>
      </c>
      <c r="E131">
        <f>IF(B131="","",MAX(0,N(C131)-N(D131)))</f>
        <v/>
      </c>
      <c r="F131">
        <f>IF(A131="","",SUMIFS(Videos!$F:$F,Videos!$E:$E,A131))</f>
        <v/>
      </c>
      <c r="G131" s="4">
        <f>IF(OR(F131="",F131=0),"",E131/F131*1000)</f>
        <v/>
      </c>
    </row>
    <row r="132">
      <c r="A132" s="9" t="n"/>
      <c r="B132" s="8" t="n"/>
      <c r="C132" s="8" t="n"/>
      <c r="D132">
        <f>IF(B132="","",IFERROR(VLOOKUP(B132,Baseline!$A:$B,2,FALSE),0))</f>
        <v/>
      </c>
      <c r="E132">
        <f>IF(B132="","",MAX(0,N(C132)-N(D132)))</f>
        <v/>
      </c>
      <c r="F132">
        <f>IF(A132="","",SUMIFS(Videos!$F:$F,Videos!$E:$E,A132))</f>
        <v/>
      </c>
      <c r="G132" s="4">
        <f>IF(OR(F132="",F132=0),"",E132/F132*1000)</f>
        <v/>
      </c>
    </row>
    <row r="133">
      <c r="A133" s="9" t="n"/>
      <c r="B133" s="8" t="n"/>
      <c r="C133" s="8" t="n"/>
      <c r="D133">
        <f>IF(B133="","",IFERROR(VLOOKUP(B133,Baseline!$A:$B,2,FALSE),0))</f>
        <v/>
      </c>
      <c r="E133">
        <f>IF(B133="","",MAX(0,N(C133)-N(D133)))</f>
        <v/>
      </c>
      <c r="F133">
        <f>IF(A133="","",SUMIFS(Videos!$F:$F,Videos!$E:$E,A133))</f>
        <v/>
      </c>
      <c r="G133" s="4">
        <f>IF(OR(F133="",F133=0),"",E133/F133*1000)</f>
        <v/>
      </c>
    </row>
    <row r="134">
      <c r="A134" s="9" t="n"/>
      <c r="B134" s="8" t="n"/>
      <c r="C134" s="8" t="n"/>
      <c r="D134">
        <f>IF(B134="","",IFERROR(VLOOKUP(B134,Baseline!$A:$B,2,FALSE),0))</f>
        <v/>
      </c>
      <c r="E134">
        <f>IF(B134="","",MAX(0,N(C134)-N(D134)))</f>
        <v/>
      </c>
      <c r="F134">
        <f>IF(A134="","",SUMIFS(Videos!$F:$F,Videos!$E:$E,A134))</f>
        <v/>
      </c>
      <c r="G134" s="4">
        <f>IF(OR(F134="",F134=0),"",E134/F134*1000)</f>
        <v/>
      </c>
    </row>
    <row r="135">
      <c r="A135" s="9" t="n"/>
      <c r="B135" s="8" t="n"/>
      <c r="C135" s="8" t="n"/>
      <c r="D135">
        <f>IF(B135="","",IFERROR(VLOOKUP(B135,Baseline!$A:$B,2,FALSE),0))</f>
        <v/>
      </c>
      <c r="E135">
        <f>IF(B135="","",MAX(0,N(C135)-N(D135)))</f>
        <v/>
      </c>
      <c r="F135">
        <f>IF(A135="","",SUMIFS(Videos!$F:$F,Videos!$E:$E,A135))</f>
        <v/>
      </c>
      <c r="G135" s="4">
        <f>IF(OR(F135="",F135=0),"",E135/F135*1000)</f>
        <v/>
      </c>
    </row>
    <row r="136">
      <c r="A136" s="9" t="n"/>
      <c r="B136" s="8" t="n"/>
      <c r="C136" s="8" t="n"/>
      <c r="D136">
        <f>IF(B136="","",IFERROR(VLOOKUP(B136,Baseline!$A:$B,2,FALSE),0))</f>
        <v/>
      </c>
      <c r="E136">
        <f>IF(B136="","",MAX(0,N(C136)-N(D136)))</f>
        <v/>
      </c>
      <c r="F136">
        <f>IF(A136="","",SUMIFS(Videos!$F:$F,Videos!$E:$E,A136))</f>
        <v/>
      </c>
      <c r="G136" s="4">
        <f>IF(OR(F136="",F136=0),"",E136/F136*1000)</f>
        <v/>
      </c>
    </row>
    <row r="137">
      <c r="A137" s="9" t="n"/>
      <c r="B137" s="8" t="n"/>
      <c r="C137" s="8" t="n"/>
      <c r="D137">
        <f>IF(B137="","",IFERROR(VLOOKUP(B137,Baseline!$A:$B,2,FALSE),0))</f>
        <v/>
      </c>
      <c r="E137">
        <f>IF(B137="","",MAX(0,N(C137)-N(D137)))</f>
        <v/>
      </c>
      <c r="F137">
        <f>IF(A137="","",SUMIFS(Videos!$F:$F,Videos!$E:$E,A137))</f>
        <v/>
      </c>
      <c r="G137" s="4">
        <f>IF(OR(F137="",F137=0),"",E137/F137*1000)</f>
        <v/>
      </c>
    </row>
    <row r="138">
      <c r="A138" s="9" t="n"/>
      <c r="B138" s="8" t="n"/>
      <c r="C138" s="8" t="n"/>
      <c r="D138">
        <f>IF(B138="","",IFERROR(VLOOKUP(B138,Baseline!$A:$B,2,FALSE),0))</f>
        <v/>
      </c>
      <c r="E138">
        <f>IF(B138="","",MAX(0,N(C138)-N(D138)))</f>
        <v/>
      </c>
      <c r="F138">
        <f>IF(A138="","",SUMIFS(Videos!$F:$F,Videos!$E:$E,A138))</f>
        <v/>
      </c>
      <c r="G138" s="4">
        <f>IF(OR(F138="",F138=0),"",E138/F138*1000)</f>
        <v/>
      </c>
    </row>
    <row r="139">
      <c r="A139" s="9" t="n"/>
      <c r="B139" s="8" t="n"/>
      <c r="C139" s="8" t="n"/>
      <c r="D139">
        <f>IF(B139="","",IFERROR(VLOOKUP(B139,Baseline!$A:$B,2,FALSE),0))</f>
        <v/>
      </c>
      <c r="E139">
        <f>IF(B139="","",MAX(0,N(C139)-N(D139)))</f>
        <v/>
      </c>
      <c r="F139">
        <f>IF(A139="","",SUMIFS(Videos!$F:$F,Videos!$E:$E,A139))</f>
        <v/>
      </c>
      <c r="G139" s="4">
        <f>IF(OR(F139="",F139=0),"",E139/F139*1000)</f>
        <v/>
      </c>
    </row>
    <row r="140">
      <c r="A140" s="9" t="n"/>
      <c r="B140" s="8" t="n"/>
      <c r="C140" s="8" t="n"/>
      <c r="D140">
        <f>IF(B140="","",IFERROR(VLOOKUP(B140,Baseline!$A:$B,2,FALSE),0))</f>
        <v/>
      </c>
      <c r="E140">
        <f>IF(B140="","",MAX(0,N(C140)-N(D140)))</f>
        <v/>
      </c>
      <c r="F140">
        <f>IF(A140="","",SUMIFS(Videos!$F:$F,Videos!$E:$E,A140))</f>
        <v/>
      </c>
      <c r="G140" s="4">
        <f>IF(OR(F140="",F140=0),"",E140/F140*1000)</f>
        <v/>
      </c>
    </row>
    <row r="141">
      <c r="A141" s="9" t="n"/>
      <c r="B141" s="8" t="n"/>
      <c r="C141" s="8" t="n"/>
      <c r="D141">
        <f>IF(B141="","",IFERROR(VLOOKUP(B141,Baseline!$A:$B,2,FALSE),0))</f>
        <v/>
      </c>
      <c r="E141">
        <f>IF(B141="","",MAX(0,N(C141)-N(D141)))</f>
        <v/>
      </c>
      <c r="F141">
        <f>IF(A141="","",SUMIFS(Videos!$F:$F,Videos!$E:$E,A141))</f>
        <v/>
      </c>
      <c r="G141" s="4">
        <f>IF(OR(F141="",F141=0),"",E141/F141*1000)</f>
        <v/>
      </c>
    </row>
    <row r="142">
      <c r="A142" s="9" t="n"/>
      <c r="B142" s="8" t="n"/>
      <c r="C142" s="8" t="n"/>
      <c r="D142">
        <f>IF(B142="","",IFERROR(VLOOKUP(B142,Baseline!$A:$B,2,FALSE),0))</f>
        <v/>
      </c>
      <c r="E142">
        <f>IF(B142="","",MAX(0,N(C142)-N(D142)))</f>
        <v/>
      </c>
      <c r="F142">
        <f>IF(A142="","",SUMIFS(Videos!$F:$F,Videos!$E:$E,A142))</f>
        <v/>
      </c>
      <c r="G142" s="4">
        <f>IF(OR(F142="",F142=0),"",E142/F142*1000)</f>
        <v/>
      </c>
    </row>
    <row r="143">
      <c r="A143" s="9" t="n"/>
      <c r="B143" s="8" t="n"/>
      <c r="C143" s="8" t="n"/>
      <c r="D143">
        <f>IF(B143="","",IFERROR(VLOOKUP(B143,Baseline!$A:$B,2,FALSE),0))</f>
        <v/>
      </c>
      <c r="E143">
        <f>IF(B143="","",MAX(0,N(C143)-N(D143)))</f>
        <v/>
      </c>
      <c r="F143">
        <f>IF(A143="","",SUMIFS(Videos!$F:$F,Videos!$E:$E,A143))</f>
        <v/>
      </c>
      <c r="G143" s="4">
        <f>IF(OR(F143="",F143=0),"",E143/F143*1000)</f>
        <v/>
      </c>
    </row>
    <row r="144">
      <c r="A144" s="9" t="n"/>
      <c r="B144" s="8" t="n"/>
      <c r="C144" s="8" t="n"/>
      <c r="D144">
        <f>IF(B144="","",IFERROR(VLOOKUP(B144,Baseline!$A:$B,2,FALSE),0))</f>
        <v/>
      </c>
      <c r="E144">
        <f>IF(B144="","",MAX(0,N(C144)-N(D144)))</f>
        <v/>
      </c>
      <c r="F144">
        <f>IF(A144="","",SUMIFS(Videos!$F:$F,Videos!$E:$E,A144))</f>
        <v/>
      </c>
      <c r="G144" s="4">
        <f>IF(OR(F144="",F144=0),"",E144/F144*1000)</f>
        <v/>
      </c>
    </row>
    <row r="145">
      <c r="A145" s="9" t="n"/>
      <c r="B145" s="8" t="n"/>
      <c r="C145" s="8" t="n"/>
      <c r="D145">
        <f>IF(B145="","",IFERROR(VLOOKUP(B145,Baseline!$A:$B,2,FALSE),0))</f>
        <v/>
      </c>
      <c r="E145">
        <f>IF(B145="","",MAX(0,N(C145)-N(D145)))</f>
        <v/>
      </c>
      <c r="F145">
        <f>IF(A145="","",SUMIFS(Videos!$F:$F,Videos!$E:$E,A145))</f>
        <v/>
      </c>
      <c r="G145" s="4">
        <f>IF(OR(F145="",F145=0),"",E145/F145*1000)</f>
        <v/>
      </c>
    </row>
    <row r="146">
      <c r="A146" s="9" t="n"/>
      <c r="B146" s="8" t="n"/>
      <c r="C146" s="8" t="n"/>
      <c r="D146">
        <f>IF(B146="","",IFERROR(VLOOKUP(B146,Baseline!$A:$B,2,FALSE),0))</f>
        <v/>
      </c>
      <c r="E146">
        <f>IF(B146="","",MAX(0,N(C146)-N(D146)))</f>
        <v/>
      </c>
      <c r="F146">
        <f>IF(A146="","",SUMIFS(Videos!$F:$F,Videos!$E:$E,A146))</f>
        <v/>
      </c>
      <c r="G146" s="4">
        <f>IF(OR(F146="",F146=0),"",E146/F146*1000)</f>
        <v/>
      </c>
    </row>
    <row r="147">
      <c r="A147" s="9" t="n"/>
      <c r="B147" s="8" t="n"/>
      <c r="C147" s="8" t="n"/>
      <c r="D147">
        <f>IF(B147="","",IFERROR(VLOOKUP(B147,Baseline!$A:$B,2,FALSE),0))</f>
        <v/>
      </c>
      <c r="E147">
        <f>IF(B147="","",MAX(0,N(C147)-N(D147)))</f>
        <v/>
      </c>
      <c r="F147">
        <f>IF(A147="","",SUMIFS(Videos!$F:$F,Videos!$E:$E,A147))</f>
        <v/>
      </c>
      <c r="G147" s="4">
        <f>IF(OR(F147="",F147=0),"",E147/F147*1000)</f>
        <v/>
      </c>
    </row>
    <row r="148">
      <c r="A148" s="9" t="n"/>
      <c r="B148" s="8" t="n"/>
      <c r="C148" s="8" t="n"/>
      <c r="D148">
        <f>IF(B148="","",IFERROR(VLOOKUP(B148,Baseline!$A:$B,2,FALSE),0))</f>
        <v/>
      </c>
      <c r="E148">
        <f>IF(B148="","",MAX(0,N(C148)-N(D148)))</f>
        <v/>
      </c>
      <c r="F148">
        <f>IF(A148="","",SUMIFS(Videos!$F:$F,Videos!$E:$E,A148))</f>
        <v/>
      </c>
      <c r="G148" s="4">
        <f>IF(OR(F148="",F148=0),"",E148/F148*1000)</f>
        <v/>
      </c>
    </row>
    <row r="149">
      <c r="A149" s="9" t="n"/>
      <c r="B149" s="8" t="n"/>
      <c r="C149" s="8" t="n"/>
      <c r="D149">
        <f>IF(B149="","",IFERROR(VLOOKUP(B149,Baseline!$A:$B,2,FALSE),0))</f>
        <v/>
      </c>
      <c r="E149">
        <f>IF(B149="","",MAX(0,N(C149)-N(D149)))</f>
        <v/>
      </c>
      <c r="F149">
        <f>IF(A149="","",SUMIFS(Videos!$F:$F,Videos!$E:$E,A149))</f>
        <v/>
      </c>
      <c r="G149" s="4">
        <f>IF(OR(F149="",F149=0),"",E149/F149*1000)</f>
        <v/>
      </c>
    </row>
    <row r="150">
      <c r="A150" s="9" t="n"/>
      <c r="B150" s="8" t="n"/>
      <c r="C150" s="8" t="n"/>
      <c r="D150">
        <f>IF(B150="","",IFERROR(VLOOKUP(B150,Baseline!$A:$B,2,FALSE),0))</f>
        <v/>
      </c>
      <c r="E150">
        <f>IF(B150="","",MAX(0,N(C150)-N(D150)))</f>
        <v/>
      </c>
      <c r="F150">
        <f>IF(A150="","",SUMIFS(Videos!$F:$F,Videos!$E:$E,A150))</f>
        <v/>
      </c>
      <c r="G150" s="4">
        <f>IF(OR(F150="",F150=0),"",E150/F150*1000)</f>
        <v/>
      </c>
    </row>
    <row r="151">
      <c r="A151" s="9" t="n"/>
      <c r="B151" s="8" t="n"/>
      <c r="C151" s="8" t="n"/>
      <c r="D151">
        <f>IF(B151="","",IFERROR(VLOOKUP(B151,Baseline!$A:$B,2,FALSE),0))</f>
        <v/>
      </c>
      <c r="E151">
        <f>IF(B151="","",MAX(0,N(C151)-N(D151)))</f>
        <v/>
      </c>
      <c r="F151">
        <f>IF(A151="","",SUMIFS(Videos!$F:$F,Videos!$E:$E,A151))</f>
        <v/>
      </c>
      <c r="G151" s="4">
        <f>IF(OR(F151="",F151=0),"",E151/F151*1000)</f>
        <v/>
      </c>
    </row>
    <row r="152">
      <c r="A152" s="9" t="n"/>
      <c r="B152" s="8" t="n"/>
      <c r="C152" s="8" t="n"/>
      <c r="D152">
        <f>IF(B152="","",IFERROR(VLOOKUP(B152,Baseline!$A:$B,2,FALSE),0))</f>
        <v/>
      </c>
      <c r="E152">
        <f>IF(B152="","",MAX(0,N(C152)-N(D152)))</f>
        <v/>
      </c>
      <c r="F152">
        <f>IF(A152="","",SUMIFS(Videos!$F:$F,Videos!$E:$E,A152))</f>
        <v/>
      </c>
      <c r="G152" s="4">
        <f>IF(OR(F152="",F152=0),"",E152/F152*1000)</f>
        <v/>
      </c>
    </row>
    <row r="153">
      <c r="A153" s="9" t="n"/>
      <c r="B153" s="8" t="n"/>
      <c r="C153" s="8" t="n"/>
      <c r="D153">
        <f>IF(B153="","",IFERROR(VLOOKUP(B153,Baseline!$A:$B,2,FALSE),0))</f>
        <v/>
      </c>
      <c r="E153">
        <f>IF(B153="","",MAX(0,N(C153)-N(D153)))</f>
        <v/>
      </c>
      <c r="F153">
        <f>IF(A153="","",SUMIFS(Videos!$F:$F,Videos!$E:$E,A153))</f>
        <v/>
      </c>
      <c r="G153" s="4">
        <f>IF(OR(F153="",F153=0),"",E153/F153*1000)</f>
        <v/>
      </c>
    </row>
    <row r="154">
      <c r="A154" s="9" t="n"/>
      <c r="B154" s="8" t="n"/>
      <c r="C154" s="8" t="n"/>
      <c r="D154">
        <f>IF(B154="","",IFERROR(VLOOKUP(B154,Baseline!$A:$B,2,FALSE),0))</f>
        <v/>
      </c>
      <c r="E154">
        <f>IF(B154="","",MAX(0,N(C154)-N(D154)))</f>
        <v/>
      </c>
      <c r="F154">
        <f>IF(A154="","",SUMIFS(Videos!$F:$F,Videos!$E:$E,A154))</f>
        <v/>
      </c>
      <c r="G154" s="4">
        <f>IF(OR(F154="",F154=0),"",E154/F154*1000)</f>
        <v/>
      </c>
    </row>
    <row r="155">
      <c r="A155" s="9" t="n"/>
      <c r="B155" s="8" t="n"/>
      <c r="C155" s="8" t="n"/>
      <c r="D155">
        <f>IF(B155="","",IFERROR(VLOOKUP(B155,Baseline!$A:$B,2,FALSE),0))</f>
        <v/>
      </c>
      <c r="E155">
        <f>IF(B155="","",MAX(0,N(C155)-N(D155)))</f>
        <v/>
      </c>
      <c r="F155">
        <f>IF(A155="","",SUMIFS(Videos!$F:$F,Videos!$E:$E,A155))</f>
        <v/>
      </c>
      <c r="G155" s="4">
        <f>IF(OR(F155="",F155=0),"",E155/F155*1000)</f>
        <v/>
      </c>
    </row>
    <row r="156">
      <c r="A156" s="9" t="n"/>
      <c r="B156" s="8" t="n"/>
      <c r="C156" s="8" t="n"/>
      <c r="D156">
        <f>IF(B156="","",IFERROR(VLOOKUP(B156,Baseline!$A:$B,2,FALSE),0))</f>
        <v/>
      </c>
      <c r="E156">
        <f>IF(B156="","",MAX(0,N(C156)-N(D156)))</f>
        <v/>
      </c>
      <c r="F156">
        <f>IF(A156="","",SUMIFS(Videos!$F:$F,Videos!$E:$E,A156))</f>
        <v/>
      </c>
      <c r="G156" s="4">
        <f>IF(OR(F156="",F156=0),"",E156/F156*1000)</f>
        <v/>
      </c>
    </row>
    <row r="157">
      <c r="A157" s="9" t="n"/>
      <c r="B157" s="8" t="n"/>
      <c r="C157" s="8" t="n"/>
      <c r="D157">
        <f>IF(B157="","",IFERROR(VLOOKUP(B157,Baseline!$A:$B,2,FALSE),0))</f>
        <v/>
      </c>
      <c r="E157">
        <f>IF(B157="","",MAX(0,N(C157)-N(D157)))</f>
        <v/>
      </c>
      <c r="F157">
        <f>IF(A157="","",SUMIFS(Videos!$F:$F,Videos!$E:$E,A157))</f>
        <v/>
      </c>
      <c r="G157" s="4">
        <f>IF(OR(F157="",F157=0),"",E157/F157*1000)</f>
        <v/>
      </c>
    </row>
    <row r="158">
      <c r="A158" s="9" t="n"/>
      <c r="B158" s="8" t="n"/>
      <c r="C158" s="8" t="n"/>
      <c r="D158">
        <f>IF(B158="","",IFERROR(VLOOKUP(B158,Baseline!$A:$B,2,FALSE),0))</f>
        <v/>
      </c>
      <c r="E158">
        <f>IF(B158="","",MAX(0,N(C158)-N(D158)))</f>
        <v/>
      </c>
      <c r="F158">
        <f>IF(A158="","",SUMIFS(Videos!$F:$F,Videos!$E:$E,A158))</f>
        <v/>
      </c>
      <c r="G158" s="4">
        <f>IF(OR(F158="",F158=0),"",E158/F158*1000)</f>
        <v/>
      </c>
    </row>
    <row r="159">
      <c r="A159" s="9" t="n"/>
      <c r="B159" s="8" t="n"/>
      <c r="C159" s="8" t="n"/>
      <c r="D159">
        <f>IF(B159="","",IFERROR(VLOOKUP(B159,Baseline!$A:$B,2,FALSE),0))</f>
        <v/>
      </c>
      <c r="E159">
        <f>IF(B159="","",MAX(0,N(C159)-N(D159)))</f>
        <v/>
      </c>
      <c r="F159">
        <f>IF(A159="","",SUMIFS(Videos!$F:$F,Videos!$E:$E,A159))</f>
        <v/>
      </c>
      <c r="G159" s="4">
        <f>IF(OR(F159="",F159=0),"",E159/F159*1000)</f>
        <v/>
      </c>
    </row>
    <row r="160">
      <c r="A160" s="9" t="n"/>
      <c r="B160" s="8" t="n"/>
      <c r="C160" s="8" t="n"/>
      <c r="D160">
        <f>IF(B160="","",IFERROR(VLOOKUP(B160,Baseline!$A:$B,2,FALSE),0))</f>
        <v/>
      </c>
      <c r="E160">
        <f>IF(B160="","",MAX(0,N(C160)-N(D160)))</f>
        <v/>
      </c>
      <c r="F160">
        <f>IF(A160="","",SUMIFS(Videos!$F:$F,Videos!$E:$E,A160))</f>
        <v/>
      </c>
      <c r="G160" s="4">
        <f>IF(OR(F160="",F160=0),"",E160/F160*1000)</f>
        <v/>
      </c>
    </row>
    <row r="161">
      <c r="A161" s="9" t="n"/>
      <c r="B161" s="8" t="n"/>
      <c r="C161" s="8" t="n"/>
      <c r="D161">
        <f>IF(B161="","",IFERROR(VLOOKUP(B161,Baseline!$A:$B,2,FALSE),0))</f>
        <v/>
      </c>
      <c r="E161">
        <f>IF(B161="","",MAX(0,N(C161)-N(D161)))</f>
        <v/>
      </c>
      <c r="F161">
        <f>IF(A161="","",SUMIFS(Videos!$F:$F,Videos!$E:$E,A161))</f>
        <v/>
      </c>
      <c r="G161" s="4">
        <f>IF(OR(F161="",F161=0),"",E161/F161*1000)</f>
        <v/>
      </c>
    </row>
    <row r="162">
      <c r="A162" s="9" t="n"/>
      <c r="B162" s="8" t="n"/>
      <c r="C162" s="8" t="n"/>
      <c r="D162">
        <f>IF(B162="","",IFERROR(VLOOKUP(B162,Baseline!$A:$B,2,FALSE),0))</f>
        <v/>
      </c>
      <c r="E162">
        <f>IF(B162="","",MAX(0,N(C162)-N(D162)))</f>
        <v/>
      </c>
      <c r="F162">
        <f>IF(A162="","",SUMIFS(Videos!$F:$F,Videos!$E:$E,A162))</f>
        <v/>
      </c>
      <c r="G162" s="4">
        <f>IF(OR(F162="",F162=0),"",E162/F162*1000)</f>
        <v/>
      </c>
    </row>
    <row r="163">
      <c r="A163" s="9" t="n"/>
      <c r="B163" s="8" t="n"/>
      <c r="C163" s="8" t="n"/>
      <c r="D163">
        <f>IF(B163="","",IFERROR(VLOOKUP(B163,Baseline!$A:$B,2,FALSE),0))</f>
        <v/>
      </c>
      <c r="E163">
        <f>IF(B163="","",MAX(0,N(C163)-N(D163)))</f>
        <v/>
      </c>
      <c r="F163">
        <f>IF(A163="","",SUMIFS(Videos!$F:$F,Videos!$E:$E,A163))</f>
        <v/>
      </c>
      <c r="G163" s="4">
        <f>IF(OR(F163="",F163=0),"",E163/F163*1000)</f>
        <v/>
      </c>
    </row>
    <row r="164">
      <c r="A164" s="9" t="n"/>
      <c r="B164" s="8" t="n"/>
      <c r="C164" s="8" t="n"/>
      <c r="D164">
        <f>IF(B164="","",IFERROR(VLOOKUP(B164,Baseline!$A:$B,2,FALSE),0))</f>
        <v/>
      </c>
      <c r="E164">
        <f>IF(B164="","",MAX(0,N(C164)-N(D164)))</f>
        <v/>
      </c>
      <c r="F164">
        <f>IF(A164="","",SUMIFS(Videos!$F:$F,Videos!$E:$E,A164))</f>
        <v/>
      </c>
      <c r="G164" s="4">
        <f>IF(OR(F164="",F164=0),"",E164/F164*1000)</f>
        <v/>
      </c>
    </row>
    <row r="165">
      <c r="A165" s="9" t="n"/>
      <c r="B165" s="8" t="n"/>
      <c r="C165" s="8" t="n"/>
      <c r="D165">
        <f>IF(B165="","",IFERROR(VLOOKUP(B165,Baseline!$A:$B,2,FALSE),0))</f>
        <v/>
      </c>
      <c r="E165">
        <f>IF(B165="","",MAX(0,N(C165)-N(D165)))</f>
        <v/>
      </c>
      <c r="F165">
        <f>IF(A165="","",SUMIFS(Videos!$F:$F,Videos!$E:$E,A165))</f>
        <v/>
      </c>
      <c r="G165" s="4">
        <f>IF(OR(F165="",F165=0),"",E165/F165*1000)</f>
        <v/>
      </c>
    </row>
    <row r="166">
      <c r="A166" s="9" t="n"/>
      <c r="B166" s="8" t="n"/>
      <c r="C166" s="8" t="n"/>
      <c r="D166">
        <f>IF(B166="","",IFERROR(VLOOKUP(B166,Baseline!$A:$B,2,FALSE),0))</f>
        <v/>
      </c>
      <c r="E166">
        <f>IF(B166="","",MAX(0,N(C166)-N(D166)))</f>
        <v/>
      </c>
      <c r="F166">
        <f>IF(A166="","",SUMIFS(Videos!$F:$F,Videos!$E:$E,A166))</f>
        <v/>
      </c>
      <c r="G166" s="4">
        <f>IF(OR(F166="",F166=0),"",E166/F166*1000)</f>
        <v/>
      </c>
    </row>
    <row r="167">
      <c r="A167" s="9" t="n"/>
      <c r="B167" s="8" t="n"/>
      <c r="C167" s="8" t="n"/>
      <c r="D167">
        <f>IF(B167="","",IFERROR(VLOOKUP(B167,Baseline!$A:$B,2,FALSE),0))</f>
        <v/>
      </c>
      <c r="E167">
        <f>IF(B167="","",MAX(0,N(C167)-N(D167)))</f>
        <v/>
      </c>
      <c r="F167">
        <f>IF(A167="","",SUMIFS(Videos!$F:$F,Videos!$E:$E,A167))</f>
        <v/>
      </c>
      <c r="G167" s="4">
        <f>IF(OR(F167="",F167=0),"",E167/F167*1000)</f>
        <v/>
      </c>
    </row>
    <row r="168">
      <c r="A168" s="9" t="n"/>
      <c r="B168" s="8" t="n"/>
      <c r="C168" s="8" t="n"/>
      <c r="D168">
        <f>IF(B168="","",IFERROR(VLOOKUP(B168,Baseline!$A:$B,2,FALSE),0))</f>
        <v/>
      </c>
      <c r="E168">
        <f>IF(B168="","",MAX(0,N(C168)-N(D168)))</f>
        <v/>
      </c>
      <c r="F168">
        <f>IF(A168="","",SUMIFS(Videos!$F:$F,Videos!$E:$E,A168))</f>
        <v/>
      </c>
      <c r="G168" s="4">
        <f>IF(OR(F168="",F168=0),"",E168/F168*1000)</f>
        <v/>
      </c>
    </row>
    <row r="169">
      <c r="A169" s="9" t="n"/>
      <c r="B169" s="8" t="n"/>
      <c r="C169" s="8" t="n"/>
      <c r="D169">
        <f>IF(B169="","",IFERROR(VLOOKUP(B169,Baseline!$A:$B,2,FALSE),0))</f>
        <v/>
      </c>
      <c r="E169">
        <f>IF(B169="","",MAX(0,N(C169)-N(D169)))</f>
        <v/>
      </c>
      <c r="F169">
        <f>IF(A169="","",SUMIFS(Videos!$F:$F,Videos!$E:$E,A169))</f>
        <v/>
      </c>
      <c r="G169" s="4">
        <f>IF(OR(F169="",F169=0),"",E169/F169*1000)</f>
        <v/>
      </c>
    </row>
    <row r="170">
      <c r="A170" s="9" t="n"/>
      <c r="B170" s="8" t="n"/>
      <c r="C170" s="8" t="n"/>
      <c r="D170">
        <f>IF(B170="","",IFERROR(VLOOKUP(B170,Baseline!$A:$B,2,FALSE),0))</f>
        <v/>
      </c>
      <c r="E170">
        <f>IF(B170="","",MAX(0,N(C170)-N(D170)))</f>
        <v/>
      </c>
      <c r="F170">
        <f>IF(A170="","",SUMIFS(Videos!$F:$F,Videos!$E:$E,A170))</f>
        <v/>
      </c>
      <c r="G170" s="4">
        <f>IF(OR(F170="",F170=0),"",E170/F170*1000)</f>
        <v/>
      </c>
    </row>
    <row r="171">
      <c r="A171" s="9" t="n"/>
      <c r="B171" s="8" t="n"/>
      <c r="C171" s="8" t="n"/>
      <c r="D171">
        <f>IF(B171="","",IFERROR(VLOOKUP(B171,Baseline!$A:$B,2,FALSE),0))</f>
        <v/>
      </c>
      <c r="E171">
        <f>IF(B171="","",MAX(0,N(C171)-N(D171)))</f>
        <v/>
      </c>
      <c r="F171">
        <f>IF(A171="","",SUMIFS(Videos!$F:$F,Videos!$E:$E,A171))</f>
        <v/>
      </c>
      <c r="G171" s="4">
        <f>IF(OR(F171="",F171=0),"",E171/F171*1000)</f>
        <v/>
      </c>
    </row>
    <row r="172">
      <c r="A172" s="9" t="n"/>
      <c r="B172" s="8" t="n"/>
      <c r="C172" s="8" t="n"/>
      <c r="D172">
        <f>IF(B172="","",IFERROR(VLOOKUP(B172,Baseline!$A:$B,2,FALSE),0))</f>
        <v/>
      </c>
      <c r="E172">
        <f>IF(B172="","",MAX(0,N(C172)-N(D172)))</f>
        <v/>
      </c>
      <c r="F172">
        <f>IF(A172="","",SUMIFS(Videos!$F:$F,Videos!$E:$E,A172))</f>
        <v/>
      </c>
      <c r="G172" s="4">
        <f>IF(OR(F172="",F172=0),"",E172/F172*1000)</f>
        <v/>
      </c>
    </row>
    <row r="173">
      <c r="A173" s="9" t="n"/>
      <c r="B173" s="8" t="n"/>
      <c r="C173" s="8" t="n"/>
      <c r="D173">
        <f>IF(B173="","",IFERROR(VLOOKUP(B173,Baseline!$A:$B,2,FALSE),0))</f>
        <v/>
      </c>
      <c r="E173">
        <f>IF(B173="","",MAX(0,N(C173)-N(D173)))</f>
        <v/>
      </c>
      <c r="F173">
        <f>IF(A173="","",SUMIFS(Videos!$F:$F,Videos!$E:$E,A173))</f>
        <v/>
      </c>
      <c r="G173" s="4">
        <f>IF(OR(F173="",F173=0),"",E173/F173*1000)</f>
        <v/>
      </c>
    </row>
    <row r="174">
      <c r="A174" s="9" t="n"/>
      <c r="B174" s="8" t="n"/>
      <c r="C174" s="8" t="n"/>
      <c r="D174">
        <f>IF(B174="","",IFERROR(VLOOKUP(B174,Baseline!$A:$B,2,FALSE),0))</f>
        <v/>
      </c>
      <c r="E174">
        <f>IF(B174="","",MAX(0,N(C174)-N(D174)))</f>
        <v/>
      </c>
      <c r="F174">
        <f>IF(A174="","",SUMIFS(Videos!$F:$F,Videos!$E:$E,A174))</f>
        <v/>
      </c>
      <c r="G174" s="4">
        <f>IF(OR(F174="",F174=0),"",E174/F174*1000)</f>
        <v/>
      </c>
    </row>
    <row r="175">
      <c r="A175" s="9" t="n"/>
      <c r="B175" s="8" t="n"/>
      <c r="C175" s="8" t="n"/>
      <c r="D175">
        <f>IF(B175="","",IFERROR(VLOOKUP(B175,Baseline!$A:$B,2,FALSE),0))</f>
        <v/>
      </c>
      <c r="E175">
        <f>IF(B175="","",MAX(0,N(C175)-N(D175)))</f>
        <v/>
      </c>
      <c r="F175">
        <f>IF(A175="","",SUMIFS(Videos!$F:$F,Videos!$E:$E,A175))</f>
        <v/>
      </c>
      <c r="G175" s="4">
        <f>IF(OR(F175="",F175=0),"",E175/F175*1000)</f>
        <v/>
      </c>
    </row>
    <row r="176">
      <c r="A176" s="9" t="n"/>
      <c r="B176" s="8" t="n"/>
      <c r="C176" s="8" t="n"/>
      <c r="D176">
        <f>IF(B176="","",IFERROR(VLOOKUP(B176,Baseline!$A:$B,2,FALSE),0))</f>
        <v/>
      </c>
      <c r="E176">
        <f>IF(B176="","",MAX(0,N(C176)-N(D176)))</f>
        <v/>
      </c>
      <c r="F176">
        <f>IF(A176="","",SUMIFS(Videos!$F:$F,Videos!$E:$E,A176))</f>
        <v/>
      </c>
      <c r="G176" s="4">
        <f>IF(OR(F176="",F176=0),"",E176/F176*1000)</f>
        <v/>
      </c>
    </row>
    <row r="177">
      <c r="A177" s="9" t="n"/>
      <c r="B177" s="8" t="n"/>
      <c r="C177" s="8" t="n"/>
      <c r="D177">
        <f>IF(B177="","",IFERROR(VLOOKUP(B177,Baseline!$A:$B,2,FALSE),0))</f>
        <v/>
      </c>
      <c r="E177">
        <f>IF(B177="","",MAX(0,N(C177)-N(D177)))</f>
        <v/>
      </c>
      <c r="F177">
        <f>IF(A177="","",SUMIFS(Videos!$F:$F,Videos!$E:$E,A177))</f>
        <v/>
      </c>
      <c r="G177" s="4">
        <f>IF(OR(F177="",F177=0),"",E177/F177*1000)</f>
        <v/>
      </c>
    </row>
    <row r="178">
      <c r="A178" s="9" t="n"/>
      <c r="B178" s="8" t="n"/>
      <c r="C178" s="8" t="n"/>
      <c r="D178">
        <f>IF(B178="","",IFERROR(VLOOKUP(B178,Baseline!$A:$B,2,FALSE),0))</f>
        <v/>
      </c>
      <c r="E178">
        <f>IF(B178="","",MAX(0,N(C178)-N(D178)))</f>
        <v/>
      </c>
      <c r="F178">
        <f>IF(A178="","",SUMIFS(Videos!$F:$F,Videos!$E:$E,A178))</f>
        <v/>
      </c>
      <c r="G178" s="4">
        <f>IF(OR(F178="",F178=0),"",E178/F178*1000)</f>
        <v/>
      </c>
    </row>
    <row r="179">
      <c r="A179" s="9" t="n"/>
      <c r="B179" s="8" t="n"/>
      <c r="C179" s="8" t="n"/>
      <c r="D179">
        <f>IF(B179="","",IFERROR(VLOOKUP(B179,Baseline!$A:$B,2,FALSE),0))</f>
        <v/>
      </c>
      <c r="E179">
        <f>IF(B179="","",MAX(0,N(C179)-N(D179)))</f>
        <v/>
      </c>
      <c r="F179">
        <f>IF(A179="","",SUMIFS(Videos!$F:$F,Videos!$E:$E,A179))</f>
        <v/>
      </c>
      <c r="G179" s="4">
        <f>IF(OR(F179="",F179=0),"",E179/F179*1000)</f>
        <v/>
      </c>
    </row>
    <row r="180">
      <c r="A180" s="9" t="n"/>
      <c r="B180" s="8" t="n"/>
      <c r="C180" s="8" t="n"/>
      <c r="D180">
        <f>IF(B180="","",IFERROR(VLOOKUP(B180,Baseline!$A:$B,2,FALSE),0))</f>
        <v/>
      </c>
      <c r="E180">
        <f>IF(B180="","",MAX(0,N(C180)-N(D180)))</f>
        <v/>
      </c>
      <c r="F180">
        <f>IF(A180="","",SUMIFS(Videos!$F:$F,Videos!$E:$E,A180))</f>
        <v/>
      </c>
      <c r="G180" s="4">
        <f>IF(OR(F180="",F180=0),"",E180/F180*1000)</f>
        <v/>
      </c>
    </row>
    <row r="181">
      <c r="A181" s="9" t="n"/>
      <c r="B181" s="8" t="n"/>
      <c r="C181" s="8" t="n"/>
      <c r="D181">
        <f>IF(B181="","",IFERROR(VLOOKUP(B181,Baseline!$A:$B,2,FALSE),0))</f>
        <v/>
      </c>
      <c r="E181">
        <f>IF(B181="","",MAX(0,N(C181)-N(D181)))</f>
        <v/>
      </c>
      <c r="F181">
        <f>IF(A181="","",SUMIFS(Videos!$F:$F,Videos!$E:$E,A181))</f>
        <v/>
      </c>
      <c r="G181" s="4">
        <f>IF(OR(F181="",F181=0),"",E181/F181*1000)</f>
        <v/>
      </c>
    </row>
    <row r="182">
      <c r="A182" s="9" t="n"/>
      <c r="B182" s="8" t="n"/>
      <c r="C182" s="8" t="n"/>
      <c r="D182">
        <f>IF(B182="","",IFERROR(VLOOKUP(B182,Baseline!$A:$B,2,FALSE),0))</f>
        <v/>
      </c>
      <c r="E182">
        <f>IF(B182="","",MAX(0,N(C182)-N(D182)))</f>
        <v/>
      </c>
      <c r="F182">
        <f>IF(A182="","",SUMIFS(Videos!$F:$F,Videos!$E:$E,A182))</f>
        <v/>
      </c>
      <c r="G182" s="4">
        <f>IF(OR(F182="",F182=0),"",E182/F182*1000)</f>
        <v/>
      </c>
    </row>
    <row r="183">
      <c r="A183" s="9" t="n"/>
      <c r="B183" s="8" t="n"/>
      <c r="C183" s="8" t="n"/>
      <c r="D183">
        <f>IF(B183="","",IFERROR(VLOOKUP(B183,Baseline!$A:$B,2,FALSE),0))</f>
        <v/>
      </c>
      <c r="E183">
        <f>IF(B183="","",MAX(0,N(C183)-N(D183)))</f>
        <v/>
      </c>
      <c r="F183">
        <f>IF(A183="","",SUMIFS(Videos!$F:$F,Videos!$E:$E,A183))</f>
        <v/>
      </c>
      <c r="G183" s="4">
        <f>IF(OR(F183="",F183=0),"",E183/F183*1000)</f>
        <v/>
      </c>
    </row>
    <row r="184">
      <c r="A184" s="9" t="n"/>
      <c r="B184" s="8" t="n"/>
      <c r="C184" s="8" t="n"/>
      <c r="D184">
        <f>IF(B184="","",IFERROR(VLOOKUP(B184,Baseline!$A:$B,2,FALSE),0))</f>
        <v/>
      </c>
      <c r="E184">
        <f>IF(B184="","",MAX(0,N(C184)-N(D184)))</f>
        <v/>
      </c>
      <c r="F184">
        <f>IF(A184="","",SUMIFS(Videos!$F:$F,Videos!$E:$E,A184))</f>
        <v/>
      </c>
      <c r="G184" s="4">
        <f>IF(OR(F184="",F184=0),"",E184/F184*1000)</f>
        <v/>
      </c>
    </row>
    <row r="185">
      <c r="A185" s="9" t="n"/>
      <c r="B185" s="8" t="n"/>
      <c r="C185" s="8" t="n"/>
      <c r="D185">
        <f>IF(B185="","",IFERROR(VLOOKUP(B185,Baseline!$A:$B,2,FALSE),0))</f>
        <v/>
      </c>
      <c r="E185">
        <f>IF(B185="","",MAX(0,N(C185)-N(D185)))</f>
        <v/>
      </c>
      <c r="F185">
        <f>IF(A185="","",SUMIFS(Videos!$F:$F,Videos!$E:$E,A185))</f>
        <v/>
      </c>
      <c r="G185" s="4">
        <f>IF(OR(F185="",F185=0),"",E185/F185*1000)</f>
        <v/>
      </c>
    </row>
    <row r="186">
      <c r="A186" s="9" t="n"/>
      <c r="B186" s="8" t="n"/>
      <c r="C186" s="8" t="n"/>
      <c r="D186">
        <f>IF(B186="","",IFERROR(VLOOKUP(B186,Baseline!$A:$B,2,FALSE),0))</f>
        <v/>
      </c>
      <c r="E186">
        <f>IF(B186="","",MAX(0,N(C186)-N(D186)))</f>
        <v/>
      </c>
      <c r="F186">
        <f>IF(A186="","",SUMIFS(Videos!$F:$F,Videos!$E:$E,A186))</f>
        <v/>
      </c>
      <c r="G186" s="4">
        <f>IF(OR(F186="",F186=0),"",E186/F186*1000)</f>
        <v/>
      </c>
    </row>
    <row r="187">
      <c r="A187" s="9" t="n"/>
      <c r="B187" s="8" t="n"/>
      <c r="C187" s="8" t="n"/>
      <c r="D187">
        <f>IF(B187="","",IFERROR(VLOOKUP(B187,Baseline!$A:$B,2,FALSE),0))</f>
        <v/>
      </c>
      <c r="E187">
        <f>IF(B187="","",MAX(0,N(C187)-N(D187)))</f>
        <v/>
      </c>
      <c r="F187">
        <f>IF(A187="","",SUMIFS(Videos!$F:$F,Videos!$E:$E,A187))</f>
        <v/>
      </c>
      <c r="G187" s="4">
        <f>IF(OR(F187="",F187=0),"",E187/F187*1000)</f>
        <v/>
      </c>
    </row>
    <row r="188">
      <c r="A188" s="9" t="n"/>
      <c r="B188" s="8" t="n"/>
      <c r="C188" s="8" t="n"/>
      <c r="D188">
        <f>IF(B188="","",IFERROR(VLOOKUP(B188,Baseline!$A:$B,2,FALSE),0))</f>
        <v/>
      </c>
      <c r="E188">
        <f>IF(B188="","",MAX(0,N(C188)-N(D188)))</f>
        <v/>
      </c>
      <c r="F188">
        <f>IF(A188="","",SUMIFS(Videos!$F:$F,Videos!$E:$E,A188))</f>
        <v/>
      </c>
      <c r="G188" s="4">
        <f>IF(OR(F188="",F188=0),"",E188/F188*1000)</f>
        <v/>
      </c>
    </row>
    <row r="189">
      <c r="A189" s="9" t="n"/>
      <c r="B189" s="8" t="n"/>
      <c r="C189" s="8" t="n"/>
      <c r="D189">
        <f>IF(B189="","",IFERROR(VLOOKUP(B189,Baseline!$A:$B,2,FALSE),0))</f>
        <v/>
      </c>
      <c r="E189">
        <f>IF(B189="","",MAX(0,N(C189)-N(D189)))</f>
        <v/>
      </c>
      <c r="F189">
        <f>IF(A189="","",SUMIFS(Videos!$F:$F,Videos!$E:$E,A189))</f>
        <v/>
      </c>
      <c r="G189" s="4">
        <f>IF(OR(F189="",F189=0),"",E189/F189*1000)</f>
        <v/>
      </c>
    </row>
    <row r="190">
      <c r="A190" s="9" t="n"/>
      <c r="B190" s="8" t="n"/>
      <c r="C190" s="8" t="n"/>
      <c r="D190">
        <f>IF(B190="","",IFERROR(VLOOKUP(B190,Baseline!$A:$B,2,FALSE),0))</f>
        <v/>
      </c>
      <c r="E190">
        <f>IF(B190="","",MAX(0,N(C190)-N(D190)))</f>
        <v/>
      </c>
      <c r="F190">
        <f>IF(A190="","",SUMIFS(Videos!$F:$F,Videos!$E:$E,A190))</f>
        <v/>
      </c>
      <c r="G190" s="4">
        <f>IF(OR(F190="",F190=0),"",E190/F190*1000)</f>
        <v/>
      </c>
    </row>
    <row r="191">
      <c r="A191" s="9" t="n"/>
      <c r="B191" s="8" t="n"/>
      <c r="C191" s="8" t="n"/>
      <c r="D191">
        <f>IF(B191="","",IFERROR(VLOOKUP(B191,Baseline!$A:$B,2,FALSE),0))</f>
        <v/>
      </c>
      <c r="E191">
        <f>IF(B191="","",MAX(0,N(C191)-N(D191)))</f>
        <v/>
      </c>
      <c r="F191">
        <f>IF(A191="","",SUMIFS(Videos!$F:$F,Videos!$E:$E,A191))</f>
        <v/>
      </c>
      <c r="G191" s="4">
        <f>IF(OR(F191="",F191=0),"",E191/F191*1000)</f>
        <v/>
      </c>
    </row>
    <row r="192">
      <c r="A192" s="9" t="n"/>
      <c r="B192" s="8" t="n"/>
      <c r="C192" s="8" t="n"/>
      <c r="D192">
        <f>IF(B192="","",IFERROR(VLOOKUP(B192,Baseline!$A:$B,2,FALSE),0))</f>
        <v/>
      </c>
      <c r="E192">
        <f>IF(B192="","",MAX(0,N(C192)-N(D192)))</f>
        <v/>
      </c>
      <c r="F192">
        <f>IF(A192="","",SUMIFS(Videos!$F:$F,Videos!$E:$E,A192))</f>
        <v/>
      </c>
      <c r="G192" s="4">
        <f>IF(OR(F192="",F192=0),"",E192/F192*1000)</f>
        <v/>
      </c>
    </row>
    <row r="193">
      <c r="A193" s="9" t="n"/>
      <c r="B193" s="8" t="n"/>
      <c r="C193" s="8" t="n"/>
      <c r="D193">
        <f>IF(B193="","",IFERROR(VLOOKUP(B193,Baseline!$A:$B,2,FALSE),0))</f>
        <v/>
      </c>
      <c r="E193">
        <f>IF(B193="","",MAX(0,N(C193)-N(D193)))</f>
        <v/>
      </c>
      <c r="F193">
        <f>IF(A193="","",SUMIFS(Videos!$F:$F,Videos!$E:$E,A193))</f>
        <v/>
      </c>
      <c r="G193" s="4">
        <f>IF(OR(F193="",F193=0),"",E193/F193*1000)</f>
        <v/>
      </c>
    </row>
    <row r="194">
      <c r="A194" s="9" t="n"/>
      <c r="B194" s="8" t="n"/>
      <c r="C194" s="8" t="n"/>
      <c r="D194">
        <f>IF(B194="","",IFERROR(VLOOKUP(B194,Baseline!$A:$B,2,FALSE),0))</f>
        <v/>
      </c>
      <c r="E194">
        <f>IF(B194="","",MAX(0,N(C194)-N(D194)))</f>
        <v/>
      </c>
      <c r="F194">
        <f>IF(A194="","",SUMIFS(Videos!$F:$F,Videos!$E:$E,A194))</f>
        <v/>
      </c>
      <c r="G194" s="4">
        <f>IF(OR(F194="",F194=0),"",E194/F194*1000)</f>
        <v/>
      </c>
    </row>
    <row r="195">
      <c r="A195" s="9" t="n"/>
      <c r="B195" s="8" t="n"/>
      <c r="C195" s="8" t="n"/>
      <c r="D195">
        <f>IF(B195="","",IFERROR(VLOOKUP(B195,Baseline!$A:$B,2,FALSE),0))</f>
        <v/>
      </c>
      <c r="E195">
        <f>IF(B195="","",MAX(0,N(C195)-N(D195)))</f>
        <v/>
      </c>
      <c r="F195">
        <f>IF(A195="","",SUMIFS(Videos!$F:$F,Videos!$E:$E,A195))</f>
        <v/>
      </c>
      <c r="G195" s="4">
        <f>IF(OR(F195="",F195=0),"",E195/F195*1000)</f>
        <v/>
      </c>
    </row>
    <row r="196">
      <c r="A196" s="9" t="n"/>
      <c r="B196" s="8" t="n"/>
      <c r="C196" s="8" t="n"/>
      <c r="D196">
        <f>IF(B196="","",IFERROR(VLOOKUP(B196,Baseline!$A:$B,2,FALSE),0))</f>
        <v/>
      </c>
      <c r="E196">
        <f>IF(B196="","",MAX(0,N(C196)-N(D196)))</f>
        <v/>
      </c>
      <c r="F196">
        <f>IF(A196="","",SUMIFS(Videos!$F:$F,Videos!$E:$E,A196))</f>
        <v/>
      </c>
      <c r="G196" s="4">
        <f>IF(OR(F196="",F196=0),"",E196/F196*1000)</f>
        <v/>
      </c>
    </row>
    <row r="197">
      <c r="A197" s="9" t="n"/>
      <c r="B197" s="8" t="n"/>
      <c r="C197" s="8" t="n"/>
      <c r="D197">
        <f>IF(B197="","",IFERROR(VLOOKUP(B197,Baseline!$A:$B,2,FALSE),0))</f>
        <v/>
      </c>
      <c r="E197">
        <f>IF(B197="","",MAX(0,N(C197)-N(D197)))</f>
        <v/>
      </c>
      <c r="F197">
        <f>IF(A197="","",SUMIFS(Videos!$F:$F,Videos!$E:$E,A197))</f>
        <v/>
      </c>
      <c r="G197" s="4">
        <f>IF(OR(F197="",F197=0),"",E197/F197*1000)</f>
        <v/>
      </c>
    </row>
    <row r="198">
      <c r="A198" s="9" t="n"/>
      <c r="B198" s="8" t="n"/>
      <c r="C198" s="8" t="n"/>
      <c r="D198">
        <f>IF(B198="","",IFERROR(VLOOKUP(B198,Baseline!$A:$B,2,FALSE),0))</f>
        <v/>
      </c>
      <c r="E198">
        <f>IF(B198="","",MAX(0,N(C198)-N(D198)))</f>
        <v/>
      </c>
      <c r="F198">
        <f>IF(A198="","",SUMIFS(Videos!$F:$F,Videos!$E:$E,A198))</f>
        <v/>
      </c>
      <c r="G198" s="4">
        <f>IF(OR(F198="",F198=0),"",E198/F198*1000)</f>
        <v/>
      </c>
    </row>
    <row r="199">
      <c r="A199" s="9" t="n"/>
      <c r="B199" s="8" t="n"/>
      <c r="C199" s="8" t="n"/>
      <c r="D199">
        <f>IF(B199="","",IFERROR(VLOOKUP(B199,Baseline!$A:$B,2,FALSE),0))</f>
        <v/>
      </c>
      <c r="E199">
        <f>IF(B199="","",MAX(0,N(C199)-N(D199)))</f>
        <v/>
      </c>
      <c r="F199">
        <f>IF(A199="","",SUMIFS(Videos!$F:$F,Videos!$E:$E,A199))</f>
        <v/>
      </c>
      <c r="G199" s="4">
        <f>IF(OR(F199="",F199=0),"",E199/F199*1000)</f>
        <v/>
      </c>
    </row>
    <row r="200">
      <c r="A200" s="9" t="n"/>
      <c r="B200" s="8" t="n"/>
      <c r="C200" s="8" t="n"/>
      <c r="D200">
        <f>IF(B200="","",IFERROR(VLOOKUP(B200,Baseline!$A:$B,2,FALSE),0))</f>
        <v/>
      </c>
      <c r="E200">
        <f>IF(B200="","",MAX(0,N(C200)-N(D200)))</f>
        <v/>
      </c>
      <c r="F200">
        <f>IF(A200="","",SUMIFS(Videos!$F:$F,Videos!$E:$E,A200))</f>
        <v/>
      </c>
      <c r="G200" s="4">
        <f>IF(OR(F200="",F200=0),"",E200/F200*1000)</f>
        <v/>
      </c>
    </row>
    <row r="201">
      <c r="A201" s="9" t="n"/>
      <c r="B201" s="8" t="n"/>
      <c r="C201" s="8" t="n"/>
      <c r="D201">
        <f>IF(B201="","",IFERROR(VLOOKUP(B201,Baseline!$A:$B,2,FALSE),0))</f>
        <v/>
      </c>
      <c r="E201">
        <f>IF(B201="","",MAX(0,N(C201)-N(D201)))</f>
        <v/>
      </c>
      <c r="F201">
        <f>IF(A201="","",SUMIFS(Videos!$F:$F,Videos!$E:$E,A201))</f>
        <v/>
      </c>
      <c r="G201" s="4">
        <f>IF(OR(F201="",F201=0),"",E201/F201*1000)</f>
        <v/>
      </c>
    </row>
    <row r="202">
      <c r="A202" s="9" t="n"/>
      <c r="B202" s="8" t="n"/>
      <c r="C202" s="8" t="n"/>
      <c r="D202">
        <f>IF(B202="","",IFERROR(VLOOKUP(B202,Baseline!$A:$B,2,FALSE),0))</f>
        <v/>
      </c>
      <c r="E202">
        <f>IF(B202="","",MAX(0,N(C202)-N(D202)))</f>
        <v/>
      </c>
      <c r="F202">
        <f>IF(A202="","",SUMIFS(Videos!$F:$F,Videos!$E:$E,A202))</f>
        <v/>
      </c>
      <c r="G202" s="4">
        <f>IF(OR(F202="",F202=0),"",E202/F202*1000)</f>
        <v/>
      </c>
    </row>
    <row r="203">
      <c r="A203" s="9" t="n"/>
      <c r="B203" s="8" t="n"/>
      <c r="C203" s="8" t="n"/>
      <c r="D203">
        <f>IF(B203="","",IFERROR(VLOOKUP(B203,Baseline!$A:$B,2,FALSE),0))</f>
        <v/>
      </c>
      <c r="E203">
        <f>IF(B203="","",MAX(0,N(C203)-N(D203)))</f>
        <v/>
      </c>
      <c r="F203">
        <f>IF(A203="","",SUMIFS(Videos!$F:$F,Videos!$E:$E,A203))</f>
        <v/>
      </c>
      <c r="G203" s="4">
        <f>IF(OR(F203="",F203=0),"",E203/F203*1000)</f>
        <v/>
      </c>
    </row>
    <row r="204">
      <c r="A204" s="9" t="n"/>
      <c r="B204" s="8" t="n"/>
      <c r="C204" s="8" t="n"/>
      <c r="D204">
        <f>IF(B204="","",IFERROR(VLOOKUP(B204,Baseline!$A:$B,2,FALSE),0))</f>
        <v/>
      </c>
      <c r="E204">
        <f>IF(B204="","",MAX(0,N(C204)-N(D204)))</f>
        <v/>
      </c>
      <c r="F204">
        <f>IF(A204="","",SUMIFS(Videos!$F:$F,Videos!$E:$E,A204))</f>
        <v/>
      </c>
      <c r="G204" s="4">
        <f>IF(OR(F204="",F204=0),"",E204/F204*1000)</f>
        <v/>
      </c>
    </row>
    <row r="205">
      <c r="A205" s="9" t="n"/>
      <c r="B205" s="8" t="n"/>
      <c r="C205" s="8" t="n"/>
      <c r="D205">
        <f>IF(B205="","",IFERROR(VLOOKUP(B205,Baseline!$A:$B,2,FALSE),0))</f>
        <v/>
      </c>
      <c r="E205">
        <f>IF(B205="","",MAX(0,N(C205)-N(D205)))</f>
        <v/>
      </c>
      <c r="F205">
        <f>IF(A205="","",SUMIFS(Videos!$F:$F,Videos!$E:$E,A205))</f>
        <v/>
      </c>
      <c r="G205" s="4">
        <f>IF(OR(F205="",F205=0),"",E205/F205*1000)</f>
        <v/>
      </c>
    </row>
    <row r="206">
      <c r="A206" s="9" t="n"/>
      <c r="B206" s="8" t="n"/>
      <c r="C206" s="8" t="n"/>
      <c r="D206">
        <f>IF(B206="","",IFERROR(VLOOKUP(B206,Baseline!$A:$B,2,FALSE),0))</f>
        <v/>
      </c>
      <c r="E206">
        <f>IF(B206="","",MAX(0,N(C206)-N(D206)))</f>
        <v/>
      </c>
      <c r="F206">
        <f>IF(A206="","",SUMIFS(Videos!$F:$F,Videos!$E:$E,A206))</f>
        <v/>
      </c>
      <c r="G206" s="4">
        <f>IF(OR(F206="",F206=0),"",E206/F206*1000)</f>
        <v/>
      </c>
    </row>
    <row r="207">
      <c r="A207" s="9" t="n"/>
      <c r="B207" s="8" t="n"/>
      <c r="C207" s="8" t="n"/>
      <c r="D207">
        <f>IF(B207="","",IFERROR(VLOOKUP(B207,Baseline!$A:$B,2,FALSE),0))</f>
        <v/>
      </c>
      <c r="E207">
        <f>IF(B207="","",MAX(0,N(C207)-N(D207)))</f>
        <v/>
      </c>
      <c r="F207">
        <f>IF(A207="","",SUMIFS(Videos!$F:$F,Videos!$E:$E,A207))</f>
        <v/>
      </c>
      <c r="G207" s="4">
        <f>IF(OR(F207="",F207=0),"",E207/F207*1000)</f>
        <v/>
      </c>
    </row>
    <row r="208">
      <c r="A208" s="9" t="n"/>
      <c r="B208" s="8" t="n"/>
      <c r="C208" s="8" t="n"/>
      <c r="D208">
        <f>IF(B208="","",IFERROR(VLOOKUP(B208,Baseline!$A:$B,2,FALSE),0))</f>
        <v/>
      </c>
      <c r="E208">
        <f>IF(B208="","",MAX(0,N(C208)-N(D208)))</f>
        <v/>
      </c>
      <c r="F208">
        <f>IF(A208="","",SUMIFS(Videos!$F:$F,Videos!$E:$E,A208))</f>
        <v/>
      </c>
      <c r="G208" s="4">
        <f>IF(OR(F208="",F208=0),"",E208/F208*1000)</f>
        <v/>
      </c>
    </row>
    <row r="209">
      <c r="A209" s="9" t="n"/>
      <c r="B209" s="8" t="n"/>
      <c r="C209" s="8" t="n"/>
      <c r="D209">
        <f>IF(B209="","",IFERROR(VLOOKUP(B209,Baseline!$A:$B,2,FALSE),0))</f>
        <v/>
      </c>
      <c r="E209">
        <f>IF(B209="","",MAX(0,N(C209)-N(D209)))</f>
        <v/>
      </c>
      <c r="F209">
        <f>IF(A209="","",SUMIFS(Videos!$F:$F,Videos!$E:$E,A209))</f>
        <v/>
      </c>
      <c r="G209" s="4">
        <f>IF(OR(F209="",F209=0),"",E209/F209*1000)</f>
        <v/>
      </c>
    </row>
    <row r="210">
      <c r="A210" s="9" t="n"/>
      <c r="B210" s="8" t="n"/>
      <c r="C210" s="8" t="n"/>
      <c r="D210">
        <f>IF(B210="","",IFERROR(VLOOKUP(B210,Baseline!$A:$B,2,FALSE),0))</f>
        <v/>
      </c>
      <c r="E210">
        <f>IF(B210="","",MAX(0,N(C210)-N(D210)))</f>
        <v/>
      </c>
      <c r="F210">
        <f>IF(A210="","",SUMIFS(Videos!$F:$F,Videos!$E:$E,A210))</f>
        <v/>
      </c>
      <c r="G210" s="4">
        <f>IF(OR(F210="",F210=0),"",E210/F210*1000)</f>
        <v/>
      </c>
    </row>
    <row r="211">
      <c r="A211" s="9" t="n"/>
      <c r="B211" s="8" t="n"/>
      <c r="C211" s="8" t="n"/>
      <c r="D211">
        <f>IF(B211="","",IFERROR(VLOOKUP(B211,Baseline!$A:$B,2,FALSE),0))</f>
        <v/>
      </c>
      <c r="E211">
        <f>IF(B211="","",MAX(0,N(C211)-N(D211)))</f>
        <v/>
      </c>
      <c r="F211">
        <f>IF(A211="","",SUMIFS(Videos!$F:$F,Videos!$E:$E,A211))</f>
        <v/>
      </c>
      <c r="G211" s="4">
        <f>IF(OR(F211="",F211=0),"",E211/F211*1000)</f>
        <v/>
      </c>
    </row>
    <row r="212">
      <c r="A212" s="9" t="n"/>
      <c r="B212" s="8" t="n"/>
      <c r="C212" s="8" t="n"/>
      <c r="D212">
        <f>IF(B212="","",IFERROR(VLOOKUP(B212,Baseline!$A:$B,2,FALSE),0))</f>
        <v/>
      </c>
      <c r="E212">
        <f>IF(B212="","",MAX(0,N(C212)-N(D212)))</f>
        <v/>
      </c>
      <c r="F212">
        <f>IF(A212="","",SUMIFS(Videos!$F:$F,Videos!$E:$E,A212))</f>
        <v/>
      </c>
      <c r="G212" s="4">
        <f>IF(OR(F212="",F212=0),"",E212/F212*1000)</f>
        <v/>
      </c>
    </row>
    <row r="213">
      <c r="A213" s="9" t="n"/>
      <c r="B213" s="8" t="n"/>
      <c r="C213" s="8" t="n"/>
      <c r="D213">
        <f>IF(B213="","",IFERROR(VLOOKUP(B213,Baseline!$A:$B,2,FALSE),0))</f>
        <v/>
      </c>
      <c r="E213">
        <f>IF(B213="","",MAX(0,N(C213)-N(D213)))</f>
        <v/>
      </c>
      <c r="F213">
        <f>IF(A213="","",SUMIFS(Videos!$F:$F,Videos!$E:$E,A213))</f>
        <v/>
      </c>
      <c r="G213" s="4">
        <f>IF(OR(F213="",F213=0),"",E213/F213*1000)</f>
        <v/>
      </c>
    </row>
    <row r="214">
      <c r="A214" s="9" t="n"/>
      <c r="B214" s="8" t="n"/>
      <c r="C214" s="8" t="n"/>
      <c r="D214">
        <f>IF(B214="","",IFERROR(VLOOKUP(B214,Baseline!$A:$B,2,FALSE),0))</f>
        <v/>
      </c>
      <c r="E214">
        <f>IF(B214="","",MAX(0,N(C214)-N(D214)))</f>
        <v/>
      </c>
      <c r="F214">
        <f>IF(A214="","",SUMIFS(Videos!$F:$F,Videos!$E:$E,A214))</f>
        <v/>
      </c>
      <c r="G214" s="4">
        <f>IF(OR(F214="",F214=0),"",E214/F214*1000)</f>
        <v/>
      </c>
    </row>
    <row r="215">
      <c r="A215" s="9" t="n"/>
      <c r="B215" s="8" t="n"/>
      <c r="C215" s="8" t="n"/>
      <c r="D215">
        <f>IF(B215="","",IFERROR(VLOOKUP(B215,Baseline!$A:$B,2,FALSE),0))</f>
        <v/>
      </c>
      <c r="E215">
        <f>IF(B215="","",MAX(0,N(C215)-N(D215)))</f>
        <v/>
      </c>
      <c r="F215">
        <f>IF(A215="","",SUMIFS(Videos!$F:$F,Videos!$E:$E,A215))</f>
        <v/>
      </c>
      <c r="G215" s="4">
        <f>IF(OR(F215="",F215=0),"",E215/F215*1000)</f>
        <v/>
      </c>
    </row>
    <row r="216">
      <c r="A216" s="9" t="n"/>
      <c r="B216" s="8" t="n"/>
      <c r="C216" s="8" t="n"/>
      <c r="D216">
        <f>IF(B216="","",IFERROR(VLOOKUP(B216,Baseline!$A:$B,2,FALSE),0))</f>
        <v/>
      </c>
      <c r="E216">
        <f>IF(B216="","",MAX(0,N(C216)-N(D216)))</f>
        <v/>
      </c>
      <c r="F216">
        <f>IF(A216="","",SUMIFS(Videos!$F:$F,Videos!$E:$E,A216))</f>
        <v/>
      </c>
      <c r="G216" s="4">
        <f>IF(OR(F216="",F216=0),"",E216/F216*1000)</f>
        <v/>
      </c>
    </row>
    <row r="217">
      <c r="A217" s="9" t="n"/>
      <c r="B217" s="8" t="n"/>
      <c r="C217" s="8" t="n"/>
      <c r="D217">
        <f>IF(B217="","",IFERROR(VLOOKUP(B217,Baseline!$A:$B,2,FALSE),0))</f>
        <v/>
      </c>
      <c r="E217">
        <f>IF(B217="","",MAX(0,N(C217)-N(D217)))</f>
        <v/>
      </c>
      <c r="F217">
        <f>IF(A217="","",SUMIFS(Videos!$F:$F,Videos!$E:$E,A217))</f>
        <v/>
      </c>
      <c r="G217" s="4">
        <f>IF(OR(F217="",F217=0),"",E217/F217*1000)</f>
        <v/>
      </c>
    </row>
    <row r="218">
      <c r="A218" s="9" t="n"/>
      <c r="B218" s="8" t="n"/>
      <c r="C218" s="8" t="n"/>
      <c r="D218">
        <f>IF(B218="","",IFERROR(VLOOKUP(B218,Baseline!$A:$B,2,FALSE),0))</f>
        <v/>
      </c>
      <c r="E218">
        <f>IF(B218="","",MAX(0,N(C218)-N(D218)))</f>
        <v/>
      </c>
      <c r="F218">
        <f>IF(A218="","",SUMIFS(Videos!$F:$F,Videos!$E:$E,A218))</f>
        <v/>
      </c>
      <c r="G218" s="4">
        <f>IF(OR(F218="",F218=0),"",E218/F218*1000)</f>
        <v/>
      </c>
    </row>
    <row r="219">
      <c r="A219" s="9" t="n"/>
      <c r="B219" s="8" t="n"/>
      <c r="C219" s="8" t="n"/>
      <c r="D219">
        <f>IF(B219="","",IFERROR(VLOOKUP(B219,Baseline!$A:$B,2,FALSE),0))</f>
        <v/>
      </c>
      <c r="E219">
        <f>IF(B219="","",MAX(0,N(C219)-N(D219)))</f>
        <v/>
      </c>
      <c r="F219">
        <f>IF(A219="","",SUMIFS(Videos!$F:$F,Videos!$E:$E,A219))</f>
        <v/>
      </c>
      <c r="G219" s="4">
        <f>IF(OR(F219="",F219=0),"",E219/F219*1000)</f>
        <v/>
      </c>
    </row>
    <row r="220">
      <c r="A220" s="9" t="n"/>
      <c r="B220" s="8" t="n"/>
      <c r="C220" s="8" t="n"/>
      <c r="D220">
        <f>IF(B220="","",IFERROR(VLOOKUP(B220,Baseline!$A:$B,2,FALSE),0))</f>
        <v/>
      </c>
      <c r="E220">
        <f>IF(B220="","",MAX(0,N(C220)-N(D220)))</f>
        <v/>
      </c>
      <c r="F220">
        <f>IF(A220="","",SUMIFS(Videos!$F:$F,Videos!$E:$E,A220))</f>
        <v/>
      </c>
      <c r="G220" s="4">
        <f>IF(OR(F220="",F220=0),"",E220/F220*1000)</f>
        <v/>
      </c>
    </row>
    <row r="221">
      <c r="A221" s="9" t="n"/>
      <c r="B221" s="8" t="n"/>
      <c r="C221" s="8" t="n"/>
      <c r="D221">
        <f>IF(B221="","",IFERROR(VLOOKUP(B221,Baseline!$A:$B,2,FALSE),0))</f>
        <v/>
      </c>
      <c r="E221">
        <f>IF(B221="","",MAX(0,N(C221)-N(D221)))</f>
        <v/>
      </c>
      <c r="F221">
        <f>IF(A221="","",SUMIFS(Videos!$F:$F,Videos!$E:$E,A221))</f>
        <v/>
      </c>
      <c r="G221" s="4">
        <f>IF(OR(F221="",F221=0),"",E221/F221*1000)</f>
        <v/>
      </c>
    </row>
    <row r="222">
      <c r="A222" s="9" t="n"/>
      <c r="B222" s="8" t="n"/>
      <c r="C222" s="8" t="n"/>
      <c r="D222">
        <f>IF(B222="","",IFERROR(VLOOKUP(B222,Baseline!$A:$B,2,FALSE),0))</f>
        <v/>
      </c>
      <c r="E222">
        <f>IF(B222="","",MAX(0,N(C222)-N(D222)))</f>
        <v/>
      </c>
      <c r="F222">
        <f>IF(A222="","",SUMIFS(Videos!$F:$F,Videos!$E:$E,A222))</f>
        <v/>
      </c>
      <c r="G222" s="4">
        <f>IF(OR(F222="",F222=0),"",E222/F222*1000)</f>
        <v/>
      </c>
    </row>
    <row r="223">
      <c r="A223" s="9" t="n"/>
      <c r="B223" s="8" t="n"/>
      <c r="C223" s="8" t="n"/>
      <c r="D223">
        <f>IF(B223="","",IFERROR(VLOOKUP(B223,Baseline!$A:$B,2,FALSE),0))</f>
        <v/>
      </c>
      <c r="E223">
        <f>IF(B223="","",MAX(0,N(C223)-N(D223)))</f>
        <v/>
      </c>
      <c r="F223">
        <f>IF(A223="","",SUMIFS(Videos!$F:$F,Videos!$E:$E,A223))</f>
        <v/>
      </c>
      <c r="G223" s="4">
        <f>IF(OR(F223="",F223=0),"",E223/F223*1000)</f>
        <v/>
      </c>
    </row>
    <row r="224">
      <c r="A224" s="9" t="n"/>
      <c r="B224" s="8" t="n"/>
      <c r="C224" s="8" t="n"/>
      <c r="D224">
        <f>IF(B224="","",IFERROR(VLOOKUP(B224,Baseline!$A:$B,2,FALSE),0))</f>
        <v/>
      </c>
      <c r="E224">
        <f>IF(B224="","",MAX(0,N(C224)-N(D224)))</f>
        <v/>
      </c>
      <c r="F224">
        <f>IF(A224="","",SUMIFS(Videos!$F:$F,Videos!$E:$E,A224))</f>
        <v/>
      </c>
      <c r="G224" s="4">
        <f>IF(OR(F224="",F224=0),"",E224/F224*1000)</f>
        <v/>
      </c>
    </row>
    <row r="225">
      <c r="A225" s="9" t="n"/>
      <c r="B225" s="8" t="n"/>
      <c r="C225" s="8" t="n"/>
      <c r="D225">
        <f>IF(B225="","",IFERROR(VLOOKUP(B225,Baseline!$A:$B,2,FALSE),0))</f>
        <v/>
      </c>
      <c r="E225">
        <f>IF(B225="","",MAX(0,N(C225)-N(D225)))</f>
        <v/>
      </c>
      <c r="F225">
        <f>IF(A225="","",SUMIFS(Videos!$F:$F,Videos!$E:$E,A225))</f>
        <v/>
      </c>
      <c r="G225" s="4">
        <f>IF(OR(F225="",F225=0),"",E225/F225*1000)</f>
        <v/>
      </c>
    </row>
    <row r="226">
      <c r="A226" s="9" t="n"/>
      <c r="B226" s="8" t="n"/>
      <c r="C226" s="8" t="n"/>
      <c r="D226">
        <f>IF(B226="","",IFERROR(VLOOKUP(B226,Baseline!$A:$B,2,FALSE),0))</f>
        <v/>
      </c>
      <c r="E226">
        <f>IF(B226="","",MAX(0,N(C226)-N(D226)))</f>
        <v/>
      </c>
      <c r="F226">
        <f>IF(A226="","",SUMIFS(Videos!$F:$F,Videos!$E:$E,A226))</f>
        <v/>
      </c>
      <c r="G226" s="4">
        <f>IF(OR(F226="",F226=0),"",E226/F226*1000)</f>
        <v/>
      </c>
    </row>
    <row r="227">
      <c r="A227" s="9" t="n"/>
      <c r="B227" s="8" t="n"/>
      <c r="C227" s="8" t="n"/>
      <c r="D227">
        <f>IF(B227="","",IFERROR(VLOOKUP(B227,Baseline!$A:$B,2,FALSE),0))</f>
        <v/>
      </c>
      <c r="E227">
        <f>IF(B227="","",MAX(0,N(C227)-N(D227)))</f>
        <v/>
      </c>
      <c r="F227">
        <f>IF(A227="","",SUMIFS(Videos!$F:$F,Videos!$E:$E,A227))</f>
        <v/>
      </c>
      <c r="G227" s="4">
        <f>IF(OR(F227="",F227=0),"",E227/F227*1000)</f>
        <v/>
      </c>
    </row>
    <row r="228">
      <c r="A228" s="9" t="n"/>
      <c r="B228" s="8" t="n"/>
      <c r="C228" s="8" t="n"/>
      <c r="D228">
        <f>IF(B228="","",IFERROR(VLOOKUP(B228,Baseline!$A:$B,2,FALSE),0))</f>
        <v/>
      </c>
      <c r="E228">
        <f>IF(B228="","",MAX(0,N(C228)-N(D228)))</f>
        <v/>
      </c>
      <c r="F228">
        <f>IF(A228="","",SUMIFS(Videos!$F:$F,Videos!$E:$E,A228))</f>
        <v/>
      </c>
      <c r="G228" s="4">
        <f>IF(OR(F228="",F228=0),"",E228/F228*1000)</f>
        <v/>
      </c>
    </row>
    <row r="229">
      <c r="A229" s="9" t="n"/>
      <c r="B229" s="8" t="n"/>
      <c r="C229" s="8" t="n"/>
      <c r="D229">
        <f>IF(B229="","",IFERROR(VLOOKUP(B229,Baseline!$A:$B,2,FALSE),0))</f>
        <v/>
      </c>
      <c r="E229">
        <f>IF(B229="","",MAX(0,N(C229)-N(D229)))</f>
        <v/>
      </c>
      <c r="F229">
        <f>IF(A229="","",SUMIFS(Videos!$F:$F,Videos!$E:$E,A229))</f>
        <v/>
      </c>
      <c r="G229" s="4">
        <f>IF(OR(F229="",F229=0),"",E229/F229*1000)</f>
        <v/>
      </c>
    </row>
    <row r="230">
      <c r="A230" s="9" t="n"/>
      <c r="B230" s="8" t="n"/>
      <c r="C230" s="8" t="n"/>
      <c r="D230">
        <f>IF(B230="","",IFERROR(VLOOKUP(B230,Baseline!$A:$B,2,FALSE),0))</f>
        <v/>
      </c>
      <c r="E230">
        <f>IF(B230="","",MAX(0,N(C230)-N(D230)))</f>
        <v/>
      </c>
      <c r="F230">
        <f>IF(A230="","",SUMIFS(Videos!$F:$F,Videos!$E:$E,A230))</f>
        <v/>
      </c>
      <c r="G230" s="4">
        <f>IF(OR(F230="",F230=0),"",E230/F230*1000)</f>
        <v/>
      </c>
    </row>
    <row r="231">
      <c r="A231" s="9" t="n"/>
      <c r="B231" s="8" t="n"/>
      <c r="C231" s="8" t="n"/>
      <c r="D231">
        <f>IF(B231="","",IFERROR(VLOOKUP(B231,Baseline!$A:$B,2,FALSE),0))</f>
        <v/>
      </c>
      <c r="E231">
        <f>IF(B231="","",MAX(0,N(C231)-N(D231)))</f>
        <v/>
      </c>
      <c r="F231">
        <f>IF(A231="","",SUMIFS(Videos!$F:$F,Videos!$E:$E,A231))</f>
        <v/>
      </c>
      <c r="G231" s="4">
        <f>IF(OR(F231="",F231=0),"",E231/F231*1000)</f>
        <v/>
      </c>
    </row>
    <row r="232">
      <c r="A232" s="9" t="n"/>
      <c r="B232" s="8" t="n"/>
      <c r="C232" s="8" t="n"/>
      <c r="D232">
        <f>IF(B232="","",IFERROR(VLOOKUP(B232,Baseline!$A:$B,2,FALSE),0))</f>
        <v/>
      </c>
      <c r="E232">
        <f>IF(B232="","",MAX(0,N(C232)-N(D232)))</f>
        <v/>
      </c>
      <c r="F232">
        <f>IF(A232="","",SUMIFS(Videos!$F:$F,Videos!$E:$E,A232))</f>
        <v/>
      </c>
      <c r="G232" s="4">
        <f>IF(OR(F232="",F232=0),"",E232/F232*1000)</f>
        <v/>
      </c>
    </row>
    <row r="233">
      <c r="A233" s="9" t="n"/>
      <c r="B233" s="8" t="n"/>
      <c r="C233" s="8" t="n"/>
      <c r="D233">
        <f>IF(B233="","",IFERROR(VLOOKUP(B233,Baseline!$A:$B,2,FALSE),0))</f>
        <v/>
      </c>
      <c r="E233">
        <f>IF(B233="","",MAX(0,N(C233)-N(D233)))</f>
        <v/>
      </c>
      <c r="F233">
        <f>IF(A233="","",SUMIFS(Videos!$F:$F,Videos!$E:$E,A233))</f>
        <v/>
      </c>
      <c r="G233" s="4">
        <f>IF(OR(F233="",F233=0),"",E233/F233*1000)</f>
        <v/>
      </c>
    </row>
    <row r="234">
      <c r="A234" s="9" t="n"/>
      <c r="B234" s="8" t="n"/>
      <c r="C234" s="8" t="n"/>
      <c r="D234">
        <f>IF(B234="","",IFERROR(VLOOKUP(B234,Baseline!$A:$B,2,FALSE),0))</f>
        <v/>
      </c>
      <c r="E234">
        <f>IF(B234="","",MAX(0,N(C234)-N(D234)))</f>
        <v/>
      </c>
      <c r="F234">
        <f>IF(A234="","",SUMIFS(Videos!$F:$F,Videos!$E:$E,A234))</f>
        <v/>
      </c>
      <c r="G234" s="4">
        <f>IF(OR(F234="",F234=0),"",E234/F234*1000)</f>
        <v/>
      </c>
    </row>
    <row r="235">
      <c r="A235" s="9" t="n"/>
      <c r="B235" s="8" t="n"/>
      <c r="C235" s="8" t="n"/>
      <c r="D235">
        <f>IF(B235="","",IFERROR(VLOOKUP(B235,Baseline!$A:$B,2,FALSE),0))</f>
        <v/>
      </c>
      <c r="E235">
        <f>IF(B235="","",MAX(0,N(C235)-N(D235)))</f>
        <v/>
      </c>
      <c r="F235">
        <f>IF(A235="","",SUMIFS(Videos!$F:$F,Videos!$E:$E,A235))</f>
        <v/>
      </c>
      <c r="G235" s="4">
        <f>IF(OR(F235="",F235=0),"",E235/F235*1000)</f>
        <v/>
      </c>
    </row>
    <row r="236">
      <c r="A236" s="9" t="n"/>
      <c r="B236" s="8" t="n"/>
      <c r="C236" s="8" t="n"/>
      <c r="D236">
        <f>IF(B236="","",IFERROR(VLOOKUP(B236,Baseline!$A:$B,2,FALSE),0))</f>
        <v/>
      </c>
      <c r="E236">
        <f>IF(B236="","",MAX(0,N(C236)-N(D236)))</f>
        <v/>
      </c>
      <c r="F236">
        <f>IF(A236="","",SUMIFS(Videos!$F:$F,Videos!$E:$E,A236))</f>
        <v/>
      </c>
      <c r="G236" s="4">
        <f>IF(OR(F236="",F236=0),"",E236/F236*1000)</f>
        <v/>
      </c>
    </row>
    <row r="237">
      <c r="A237" s="9" t="n"/>
      <c r="B237" s="8" t="n"/>
      <c r="C237" s="8" t="n"/>
      <c r="D237">
        <f>IF(B237="","",IFERROR(VLOOKUP(B237,Baseline!$A:$B,2,FALSE),0))</f>
        <v/>
      </c>
      <c r="E237">
        <f>IF(B237="","",MAX(0,N(C237)-N(D237)))</f>
        <v/>
      </c>
      <c r="F237">
        <f>IF(A237="","",SUMIFS(Videos!$F:$F,Videos!$E:$E,A237))</f>
        <v/>
      </c>
      <c r="G237" s="4">
        <f>IF(OR(F237="",F237=0),"",E237/F237*1000)</f>
        <v/>
      </c>
    </row>
    <row r="238">
      <c r="A238" s="9" t="n"/>
      <c r="B238" s="8" t="n"/>
      <c r="C238" s="8" t="n"/>
      <c r="D238">
        <f>IF(B238="","",IFERROR(VLOOKUP(B238,Baseline!$A:$B,2,FALSE),0))</f>
        <v/>
      </c>
      <c r="E238">
        <f>IF(B238="","",MAX(0,N(C238)-N(D238)))</f>
        <v/>
      </c>
      <c r="F238">
        <f>IF(A238="","",SUMIFS(Videos!$F:$F,Videos!$E:$E,A238))</f>
        <v/>
      </c>
      <c r="G238" s="4">
        <f>IF(OR(F238="",F238=0),"",E238/F238*1000)</f>
        <v/>
      </c>
    </row>
    <row r="239">
      <c r="A239" s="9" t="n"/>
      <c r="B239" s="8" t="n"/>
      <c r="C239" s="8" t="n"/>
      <c r="D239">
        <f>IF(B239="","",IFERROR(VLOOKUP(B239,Baseline!$A:$B,2,FALSE),0))</f>
        <v/>
      </c>
      <c r="E239">
        <f>IF(B239="","",MAX(0,N(C239)-N(D239)))</f>
        <v/>
      </c>
      <c r="F239">
        <f>IF(A239="","",SUMIFS(Videos!$F:$F,Videos!$E:$E,A239))</f>
        <v/>
      </c>
      <c r="G239" s="4">
        <f>IF(OR(F239="",F239=0),"",E239/F239*1000)</f>
        <v/>
      </c>
    </row>
    <row r="240">
      <c r="A240" s="9" t="n"/>
      <c r="B240" s="8" t="n"/>
      <c r="C240" s="8" t="n"/>
      <c r="D240">
        <f>IF(B240="","",IFERROR(VLOOKUP(B240,Baseline!$A:$B,2,FALSE),0))</f>
        <v/>
      </c>
      <c r="E240">
        <f>IF(B240="","",MAX(0,N(C240)-N(D240)))</f>
        <v/>
      </c>
      <c r="F240">
        <f>IF(A240="","",SUMIFS(Videos!$F:$F,Videos!$E:$E,A240))</f>
        <v/>
      </c>
      <c r="G240" s="4">
        <f>IF(OR(F240="",F240=0),"",E240/F240*1000)</f>
        <v/>
      </c>
    </row>
    <row r="241">
      <c r="A241" s="9" t="n"/>
      <c r="B241" s="8" t="n"/>
      <c r="C241" s="8" t="n"/>
      <c r="D241">
        <f>IF(B241="","",IFERROR(VLOOKUP(B241,Baseline!$A:$B,2,FALSE),0))</f>
        <v/>
      </c>
      <c r="E241">
        <f>IF(B241="","",MAX(0,N(C241)-N(D241)))</f>
        <v/>
      </c>
      <c r="F241">
        <f>IF(A241="","",SUMIFS(Videos!$F:$F,Videos!$E:$E,A241))</f>
        <v/>
      </c>
      <c r="G241" s="4">
        <f>IF(OR(F241="",F241=0),"",E241/F241*1000)</f>
        <v/>
      </c>
    </row>
    <row r="242">
      <c r="A242" s="9" t="n"/>
      <c r="B242" s="8" t="n"/>
      <c r="C242" s="8" t="n"/>
      <c r="D242">
        <f>IF(B242="","",IFERROR(VLOOKUP(B242,Baseline!$A:$B,2,FALSE),0))</f>
        <v/>
      </c>
      <c r="E242">
        <f>IF(B242="","",MAX(0,N(C242)-N(D242)))</f>
        <v/>
      </c>
      <c r="F242">
        <f>IF(A242="","",SUMIFS(Videos!$F:$F,Videos!$E:$E,A242))</f>
        <v/>
      </c>
      <c r="G242" s="4">
        <f>IF(OR(F242="",F242=0),"",E242/F242*1000)</f>
        <v/>
      </c>
    </row>
    <row r="243">
      <c r="A243" s="9" t="n"/>
      <c r="B243" s="8" t="n"/>
      <c r="C243" s="8" t="n"/>
      <c r="D243">
        <f>IF(B243="","",IFERROR(VLOOKUP(B243,Baseline!$A:$B,2,FALSE),0))</f>
        <v/>
      </c>
      <c r="E243">
        <f>IF(B243="","",MAX(0,N(C243)-N(D243)))</f>
        <v/>
      </c>
      <c r="F243">
        <f>IF(A243="","",SUMIFS(Videos!$F:$F,Videos!$E:$E,A243))</f>
        <v/>
      </c>
      <c r="G243" s="4">
        <f>IF(OR(F243="",F243=0),"",E243/F243*1000)</f>
        <v/>
      </c>
    </row>
    <row r="244">
      <c r="A244" s="9" t="n"/>
      <c r="B244" s="8" t="n"/>
      <c r="C244" s="8" t="n"/>
      <c r="D244">
        <f>IF(B244="","",IFERROR(VLOOKUP(B244,Baseline!$A:$B,2,FALSE),0))</f>
        <v/>
      </c>
      <c r="E244">
        <f>IF(B244="","",MAX(0,N(C244)-N(D244)))</f>
        <v/>
      </c>
      <c r="F244">
        <f>IF(A244="","",SUMIFS(Videos!$F:$F,Videos!$E:$E,A244))</f>
        <v/>
      </c>
      <c r="G244" s="4">
        <f>IF(OR(F244="",F244=0),"",E244/F244*1000)</f>
        <v/>
      </c>
    </row>
    <row r="245">
      <c r="A245" s="9" t="n"/>
      <c r="B245" s="8" t="n"/>
      <c r="C245" s="8" t="n"/>
      <c r="D245">
        <f>IF(B245="","",IFERROR(VLOOKUP(B245,Baseline!$A:$B,2,FALSE),0))</f>
        <v/>
      </c>
      <c r="E245">
        <f>IF(B245="","",MAX(0,N(C245)-N(D245)))</f>
        <v/>
      </c>
      <c r="F245">
        <f>IF(A245="","",SUMIFS(Videos!$F:$F,Videos!$E:$E,A245))</f>
        <v/>
      </c>
      <c r="G245" s="4">
        <f>IF(OR(F245="",F245=0),"",E245/F245*1000)</f>
        <v/>
      </c>
    </row>
    <row r="246">
      <c r="A246" s="9" t="n"/>
      <c r="B246" s="8" t="n"/>
      <c r="C246" s="8" t="n"/>
      <c r="D246">
        <f>IF(B246="","",IFERROR(VLOOKUP(B246,Baseline!$A:$B,2,FALSE),0))</f>
        <v/>
      </c>
      <c r="E246">
        <f>IF(B246="","",MAX(0,N(C246)-N(D246)))</f>
        <v/>
      </c>
      <c r="F246">
        <f>IF(A246="","",SUMIFS(Videos!$F:$F,Videos!$E:$E,A246))</f>
        <v/>
      </c>
      <c r="G246" s="4">
        <f>IF(OR(F246="",F246=0),"",E246/F246*1000)</f>
        <v/>
      </c>
    </row>
    <row r="247">
      <c r="A247" s="9" t="n"/>
      <c r="B247" s="8" t="n"/>
      <c r="C247" s="8" t="n"/>
      <c r="D247">
        <f>IF(B247="","",IFERROR(VLOOKUP(B247,Baseline!$A:$B,2,FALSE),0))</f>
        <v/>
      </c>
      <c r="E247">
        <f>IF(B247="","",MAX(0,N(C247)-N(D247)))</f>
        <v/>
      </c>
      <c r="F247">
        <f>IF(A247="","",SUMIFS(Videos!$F:$F,Videos!$E:$E,A247))</f>
        <v/>
      </c>
      <c r="G247" s="4">
        <f>IF(OR(F247="",F247=0),"",E247/F247*1000)</f>
        <v/>
      </c>
    </row>
    <row r="248">
      <c r="A248" s="9" t="n"/>
      <c r="B248" s="8" t="n"/>
      <c r="C248" s="8" t="n"/>
      <c r="D248">
        <f>IF(B248="","",IFERROR(VLOOKUP(B248,Baseline!$A:$B,2,FALSE),0))</f>
        <v/>
      </c>
      <c r="E248">
        <f>IF(B248="","",MAX(0,N(C248)-N(D248)))</f>
        <v/>
      </c>
      <c r="F248">
        <f>IF(A248="","",SUMIFS(Videos!$F:$F,Videos!$E:$E,A248))</f>
        <v/>
      </c>
      <c r="G248" s="4">
        <f>IF(OR(F248="",F248=0),"",E248/F248*1000)</f>
        <v/>
      </c>
    </row>
    <row r="249">
      <c r="A249" s="9" t="n"/>
      <c r="B249" s="8" t="n"/>
      <c r="C249" s="8" t="n"/>
      <c r="D249">
        <f>IF(B249="","",IFERROR(VLOOKUP(B249,Baseline!$A:$B,2,FALSE),0))</f>
        <v/>
      </c>
      <c r="E249">
        <f>IF(B249="","",MAX(0,N(C249)-N(D249)))</f>
        <v/>
      </c>
      <c r="F249">
        <f>IF(A249="","",SUMIFS(Videos!$F:$F,Videos!$E:$E,A249))</f>
        <v/>
      </c>
      <c r="G249" s="4">
        <f>IF(OR(F249="",F249=0),"",E249/F249*1000)</f>
        <v/>
      </c>
    </row>
    <row r="250">
      <c r="A250" s="9" t="n"/>
      <c r="B250" s="8" t="n"/>
      <c r="C250" s="8" t="n"/>
      <c r="D250">
        <f>IF(B250="","",IFERROR(VLOOKUP(B250,Baseline!$A:$B,2,FALSE),0))</f>
        <v/>
      </c>
      <c r="E250">
        <f>IF(B250="","",MAX(0,N(C250)-N(D250)))</f>
        <v/>
      </c>
      <c r="F250">
        <f>IF(A250="","",SUMIFS(Videos!$F:$F,Videos!$E:$E,A250))</f>
        <v/>
      </c>
      <c r="G250" s="4">
        <f>IF(OR(F250="",F250=0),"",E250/F250*1000)</f>
        <v/>
      </c>
    </row>
    <row r="251">
      <c r="A251" s="9" t="n"/>
      <c r="B251" s="8" t="n"/>
      <c r="C251" s="8" t="n"/>
      <c r="D251">
        <f>IF(B251="","",IFERROR(VLOOKUP(B251,Baseline!$A:$B,2,FALSE),0))</f>
        <v/>
      </c>
      <c r="E251">
        <f>IF(B251="","",MAX(0,N(C251)-N(D251)))</f>
        <v/>
      </c>
      <c r="F251">
        <f>IF(A251="","",SUMIFS(Videos!$F:$F,Videos!$E:$E,A251))</f>
        <v/>
      </c>
      <c r="G251" s="4">
        <f>IF(OR(F251="",F251=0),"",E251/F251*1000)</f>
        <v/>
      </c>
    </row>
    <row r="252">
      <c r="A252" s="9" t="n"/>
      <c r="B252" s="8" t="n"/>
      <c r="C252" s="8" t="n"/>
      <c r="D252">
        <f>IF(B252="","",IFERROR(VLOOKUP(B252,Baseline!$A:$B,2,FALSE),0))</f>
        <v/>
      </c>
      <c r="E252">
        <f>IF(B252="","",MAX(0,N(C252)-N(D252)))</f>
        <v/>
      </c>
      <c r="F252">
        <f>IF(A252="","",SUMIFS(Videos!$F:$F,Videos!$E:$E,A252))</f>
        <v/>
      </c>
      <c r="G252" s="4">
        <f>IF(OR(F252="",F252=0),"",E252/F252*1000)</f>
        <v/>
      </c>
    </row>
    <row r="253">
      <c r="A253" s="9" t="n"/>
      <c r="B253" s="8" t="n"/>
      <c r="C253" s="8" t="n"/>
      <c r="D253">
        <f>IF(B253="","",IFERROR(VLOOKUP(B253,Baseline!$A:$B,2,FALSE),0))</f>
        <v/>
      </c>
      <c r="E253">
        <f>IF(B253="","",MAX(0,N(C253)-N(D253)))</f>
        <v/>
      </c>
      <c r="F253">
        <f>IF(A253="","",SUMIFS(Videos!$F:$F,Videos!$E:$E,A253))</f>
        <v/>
      </c>
      <c r="G253" s="4">
        <f>IF(OR(F253="",F253=0),"",E253/F253*1000)</f>
        <v/>
      </c>
    </row>
    <row r="254">
      <c r="A254" s="9" t="n"/>
      <c r="B254" s="8" t="n"/>
      <c r="C254" s="8" t="n"/>
      <c r="D254">
        <f>IF(B254="","",IFERROR(VLOOKUP(B254,Baseline!$A:$B,2,FALSE),0))</f>
        <v/>
      </c>
      <c r="E254">
        <f>IF(B254="","",MAX(0,N(C254)-N(D254)))</f>
        <v/>
      </c>
      <c r="F254">
        <f>IF(A254="","",SUMIFS(Videos!$F:$F,Videos!$E:$E,A254))</f>
        <v/>
      </c>
      <c r="G254" s="4">
        <f>IF(OR(F254="",F254=0),"",E254/F254*1000)</f>
        <v/>
      </c>
    </row>
    <row r="255">
      <c r="A255" s="9" t="n"/>
      <c r="B255" s="8" t="n"/>
      <c r="C255" s="8" t="n"/>
      <c r="D255">
        <f>IF(B255="","",IFERROR(VLOOKUP(B255,Baseline!$A:$B,2,FALSE),0))</f>
        <v/>
      </c>
      <c r="E255">
        <f>IF(B255="","",MAX(0,N(C255)-N(D255)))</f>
        <v/>
      </c>
      <c r="F255">
        <f>IF(A255="","",SUMIFS(Videos!$F:$F,Videos!$E:$E,A255))</f>
        <v/>
      </c>
      <c r="G255" s="4">
        <f>IF(OR(F255="",F255=0),"",E255/F255*1000)</f>
        <v/>
      </c>
    </row>
    <row r="256">
      <c r="A256" s="9" t="n"/>
      <c r="B256" s="8" t="n"/>
      <c r="C256" s="8" t="n"/>
      <c r="D256">
        <f>IF(B256="","",IFERROR(VLOOKUP(B256,Baseline!$A:$B,2,FALSE),0))</f>
        <v/>
      </c>
      <c r="E256">
        <f>IF(B256="","",MAX(0,N(C256)-N(D256)))</f>
        <v/>
      </c>
      <c r="F256">
        <f>IF(A256="","",SUMIFS(Videos!$F:$F,Videos!$E:$E,A256))</f>
        <v/>
      </c>
      <c r="G256" s="4">
        <f>IF(OR(F256="",F256=0),"",E256/F256*1000)</f>
        <v/>
      </c>
    </row>
    <row r="257">
      <c r="A257" s="9" t="n"/>
      <c r="B257" s="8" t="n"/>
      <c r="C257" s="8" t="n"/>
      <c r="D257">
        <f>IF(B257="","",IFERROR(VLOOKUP(B257,Baseline!$A:$B,2,FALSE),0))</f>
        <v/>
      </c>
      <c r="E257">
        <f>IF(B257="","",MAX(0,N(C257)-N(D257)))</f>
        <v/>
      </c>
      <c r="F257">
        <f>IF(A257="","",SUMIFS(Videos!$F:$F,Videos!$E:$E,A257))</f>
        <v/>
      </c>
      <c r="G257" s="4">
        <f>IF(OR(F257="",F257=0),"",E257/F257*1000)</f>
        <v/>
      </c>
    </row>
    <row r="258">
      <c r="A258" s="9" t="n"/>
      <c r="B258" s="8" t="n"/>
      <c r="C258" s="8" t="n"/>
      <c r="D258">
        <f>IF(B258="","",IFERROR(VLOOKUP(B258,Baseline!$A:$B,2,FALSE),0))</f>
        <v/>
      </c>
      <c r="E258">
        <f>IF(B258="","",MAX(0,N(C258)-N(D258)))</f>
        <v/>
      </c>
      <c r="F258">
        <f>IF(A258="","",SUMIFS(Videos!$F:$F,Videos!$E:$E,A258))</f>
        <v/>
      </c>
      <c r="G258" s="4">
        <f>IF(OR(F258="",F258=0),"",E258/F258*1000)</f>
        <v/>
      </c>
    </row>
    <row r="259">
      <c r="A259" s="9" t="n"/>
      <c r="B259" s="8" t="n"/>
      <c r="C259" s="8" t="n"/>
      <c r="D259">
        <f>IF(B259="","",IFERROR(VLOOKUP(B259,Baseline!$A:$B,2,FALSE),0))</f>
        <v/>
      </c>
      <c r="E259">
        <f>IF(B259="","",MAX(0,N(C259)-N(D259)))</f>
        <v/>
      </c>
      <c r="F259">
        <f>IF(A259="","",SUMIFS(Videos!$F:$F,Videos!$E:$E,A259))</f>
        <v/>
      </c>
      <c r="G259" s="4">
        <f>IF(OR(F259="",F259=0),"",E259/F259*1000)</f>
        <v/>
      </c>
    </row>
    <row r="260">
      <c r="A260" s="9" t="n"/>
      <c r="B260" s="8" t="n"/>
      <c r="C260" s="8" t="n"/>
      <c r="D260">
        <f>IF(B260="","",IFERROR(VLOOKUP(B260,Baseline!$A:$B,2,FALSE),0))</f>
        <v/>
      </c>
      <c r="E260">
        <f>IF(B260="","",MAX(0,N(C260)-N(D260)))</f>
        <v/>
      </c>
      <c r="F260">
        <f>IF(A260="","",SUMIFS(Videos!$F:$F,Videos!$E:$E,A260))</f>
        <v/>
      </c>
      <c r="G260" s="4">
        <f>IF(OR(F260="",F260=0),"",E260/F260*1000)</f>
        <v/>
      </c>
    </row>
    <row r="261">
      <c r="A261" s="9" t="n"/>
      <c r="B261" s="8" t="n"/>
      <c r="C261" s="8" t="n"/>
      <c r="D261">
        <f>IF(B261="","",IFERROR(VLOOKUP(B261,Baseline!$A:$B,2,FALSE),0))</f>
        <v/>
      </c>
      <c r="E261">
        <f>IF(B261="","",MAX(0,N(C261)-N(D261)))</f>
        <v/>
      </c>
      <c r="F261">
        <f>IF(A261="","",SUMIFS(Videos!$F:$F,Videos!$E:$E,A261))</f>
        <v/>
      </c>
      <c r="G261" s="4">
        <f>IF(OR(F261="",F261=0),"",E261/F261*1000)</f>
        <v/>
      </c>
    </row>
    <row r="262">
      <c r="A262" s="9" t="n"/>
      <c r="B262" s="8" t="n"/>
      <c r="C262" s="8" t="n"/>
      <c r="D262">
        <f>IF(B262="","",IFERROR(VLOOKUP(B262,Baseline!$A:$B,2,FALSE),0))</f>
        <v/>
      </c>
      <c r="E262">
        <f>IF(B262="","",MAX(0,N(C262)-N(D262)))</f>
        <v/>
      </c>
      <c r="F262">
        <f>IF(A262="","",SUMIFS(Videos!$F:$F,Videos!$E:$E,A262))</f>
        <v/>
      </c>
      <c r="G262" s="4">
        <f>IF(OR(F262="",F262=0),"",E262/F262*1000)</f>
        <v/>
      </c>
    </row>
    <row r="263">
      <c r="A263" s="9" t="n"/>
      <c r="B263" s="8" t="n"/>
      <c r="C263" s="8" t="n"/>
      <c r="D263">
        <f>IF(B263="","",IFERROR(VLOOKUP(B263,Baseline!$A:$B,2,FALSE),0))</f>
        <v/>
      </c>
      <c r="E263">
        <f>IF(B263="","",MAX(0,N(C263)-N(D263)))</f>
        <v/>
      </c>
      <c r="F263">
        <f>IF(A263="","",SUMIFS(Videos!$F:$F,Videos!$E:$E,A263))</f>
        <v/>
      </c>
      <c r="G263" s="4">
        <f>IF(OR(F263="",F263=0),"",E263/F263*1000)</f>
        <v/>
      </c>
    </row>
    <row r="264">
      <c r="A264" s="9" t="n"/>
      <c r="B264" s="8" t="n"/>
      <c r="C264" s="8" t="n"/>
      <c r="D264">
        <f>IF(B264="","",IFERROR(VLOOKUP(B264,Baseline!$A:$B,2,FALSE),0))</f>
        <v/>
      </c>
      <c r="E264">
        <f>IF(B264="","",MAX(0,N(C264)-N(D264)))</f>
        <v/>
      </c>
      <c r="F264">
        <f>IF(A264="","",SUMIFS(Videos!$F:$F,Videos!$E:$E,A264))</f>
        <v/>
      </c>
      <c r="G264" s="4">
        <f>IF(OR(F264="",F264=0),"",E264/F264*1000)</f>
        <v/>
      </c>
    </row>
    <row r="265">
      <c r="A265" s="9" t="n"/>
      <c r="B265" s="8" t="n"/>
      <c r="C265" s="8" t="n"/>
      <c r="D265">
        <f>IF(B265="","",IFERROR(VLOOKUP(B265,Baseline!$A:$B,2,FALSE),0))</f>
        <v/>
      </c>
      <c r="E265">
        <f>IF(B265="","",MAX(0,N(C265)-N(D265)))</f>
        <v/>
      </c>
      <c r="F265">
        <f>IF(A265="","",SUMIFS(Videos!$F:$F,Videos!$E:$E,A265))</f>
        <v/>
      </c>
      <c r="G265" s="4">
        <f>IF(OR(F265="",F265=0),"",E265/F265*1000)</f>
        <v/>
      </c>
    </row>
    <row r="266">
      <c r="A266" s="9" t="n"/>
      <c r="B266" s="8" t="n"/>
      <c r="C266" s="8" t="n"/>
      <c r="D266">
        <f>IF(B266="","",IFERROR(VLOOKUP(B266,Baseline!$A:$B,2,FALSE),0))</f>
        <v/>
      </c>
      <c r="E266">
        <f>IF(B266="","",MAX(0,N(C266)-N(D266)))</f>
        <v/>
      </c>
      <c r="F266">
        <f>IF(A266="","",SUMIFS(Videos!$F:$F,Videos!$E:$E,A266))</f>
        <v/>
      </c>
      <c r="G266" s="4">
        <f>IF(OR(F266="",F266=0),"",E266/F266*1000)</f>
        <v/>
      </c>
    </row>
    <row r="267">
      <c r="A267" s="9" t="n"/>
      <c r="B267" s="8" t="n"/>
      <c r="C267" s="8" t="n"/>
      <c r="D267">
        <f>IF(B267="","",IFERROR(VLOOKUP(B267,Baseline!$A:$B,2,FALSE),0))</f>
        <v/>
      </c>
      <c r="E267">
        <f>IF(B267="","",MAX(0,N(C267)-N(D267)))</f>
        <v/>
      </c>
      <c r="F267">
        <f>IF(A267="","",SUMIFS(Videos!$F:$F,Videos!$E:$E,A267))</f>
        <v/>
      </c>
      <c r="G267" s="4">
        <f>IF(OR(F267="",F267=0),"",E267/F267*1000)</f>
        <v/>
      </c>
    </row>
    <row r="268">
      <c r="A268" s="9" t="n"/>
      <c r="B268" s="8" t="n"/>
      <c r="C268" s="8" t="n"/>
      <c r="D268">
        <f>IF(B268="","",IFERROR(VLOOKUP(B268,Baseline!$A:$B,2,FALSE),0))</f>
        <v/>
      </c>
      <c r="E268">
        <f>IF(B268="","",MAX(0,N(C268)-N(D268)))</f>
        <v/>
      </c>
      <c r="F268">
        <f>IF(A268="","",SUMIFS(Videos!$F:$F,Videos!$E:$E,A268))</f>
        <v/>
      </c>
      <c r="G268" s="4">
        <f>IF(OR(F268="",F268=0),"",E268/F268*1000)</f>
        <v/>
      </c>
    </row>
    <row r="269">
      <c r="A269" s="9" t="n"/>
      <c r="B269" s="8" t="n"/>
      <c r="C269" s="8" t="n"/>
      <c r="D269">
        <f>IF(B269="","",IFERROR(VLOOKUP(B269,Baseline!$A:$B,2,FALSE),0))</f>
        <v/>
      </c>
      <c r="E269">
        <f>IF(B269="","",MAX(0,N(C269)-N(D269)))</f>
        <v/>
      </c>
      <c r="F269">
        <f>IF(A269="","",SUMIFS(Videos!$F:$F,Videos!$E:$E,A269))</f>
        <v/>
      </c>
      <c r="G269" s="4">
        <f>IF(OR(F269="",F269=0),"",E269/F269*1000)</f>
        <v/>
      </c>
    </row>
    <row r="270">
      <c r="A270" s="9" t="n"/>
      <c r="B270" s="8" t="n"/>
      <c r="C270" s="8" t="n"/>
      <c r="D270">
        <f>IF(B270="","",IFERROR(VLOOKUP(B270,Baseline!$A:$B,2,FALSE),0))</f>
        <v/>
      </c>
      <c r="E270">
        <f>IF(B270="","",MAX(0,N(C270)-N(D270)))</f>
        <v/>
      </c>
      <c r="F270">
        <f>IF(A270="","",SUMIFS(Videos!$F:$F,Videos!$E:$E,A270))</f>
        <v/>
      </c>
      <c r="G270" s="4">
        <f>IF(OR(F270="",F270=0),"",E270/F270*1000)</f>
        <v/>
      </c>
    </row>
    <row r="271">
      <c r="A271" s="9" t="n"/>
      <c r="B271" s="8" t="n"/>
      <c r="C271" s="8" t="n"/>
      <c r="D271">
        <f>IF(B271="","",IFERROR(VLOOKUP(B271,Baseline!$A:$B,2,FALSE),0))</f>
        <v/>
      </c>
      <c r="E271">
        <f>IF(B271="","",MAX(0,N(C271)-N(D271)))</f>
        <v/>
      </c>
      <c r="F271">
        <f>IF(A271="","",SUMIFS(Videos!$F:$F,Videos!$E:$E,A271))</f>
        <v/>
      </c>
      <c r="G271" s="4">
        <f>IF(OR(F271="",F271=0),"",E271/F271*1000)</f>
        <v/>
      </c>
    </row>
    <row r="272">
      <c r="A272" s="9" t="n"/>
      <c r="B272" s="8" t="n"/>
      <c r="C272" s="8" t="n"/>
      <c r="D272">
        <f>IF(B272="","",IFERROR(VLOOKUP(B272,Baseline!$A:$B,2,FALSE),0))</f>
        <v/>
      </c>
      <c r="E272">
        <f>IF(B272="","",MAX(0,N(C272)-N(D272)))</f>
        <v/>
      </c>
      <c r="F272">
        <f>IF(A272="","",SUMIFS(Videos!$F:$F,Videos!$E:$E,A272))</f>
        <v/>
      </c>
      <c r="G272" s="4">
        <f>IF(OR(F272="",F272=0),"",E272/F272*1000)</f>
        <v/>
      </c>
    </row>
    <row r="273">
      <c r="A273" s="9" t="n"/>
      <c r="B273" s="8" t="n"/>
      <c r="C273" s="8" t="n"/>
      <c r="D273">
        <f>IF(B273="","",IFERROR(VLOOKUP(B273,Baseline!$A:$B,2,FALSE),0))</f>
        <v/>
      </c>
      <c r="E273">
        <f>IF(B273="","",MAX(0,N(C273)-N(D273)))</f>
        <v/>
      </c>
      <c r="F273">
        <f>IF(A273="","",SUMIFS(Videos!$F:$F,Videos!$E:$E,A273))</f>
        <v/>
      </c>
      <c r="G273" s="4">
        <f>IF(OR(F273="",F273=0),"",E273/F273*1000)</f>
        <v/>
      </c>
    </row>
    <row r="274">
      <c r="A274" s="9" t="n"/>
      <c r="B274" s="8" t="n"/>
      <c r="C274" s="8" t="n"/>
      <c r="D274">
        <f>IF(B274="","",IFERROR(VLOOKUP(B274,Baseline!$A:$B,2,FALSE),0))</f>
        <v/>
      </c>
      <c r="E274">
        <f>IF(B274="","",MAX(0,N(C274)-N(D274)))</f>
        <v/>
      </c>
      <c r="F274">
        <f>IF(A274="","",SUMIFS(Videos!$F:$F,Videos!$E:$E,A274))</f>
        <v/>
      </c>
      <c r="G274" s="4">
        <f>IF(OR(F274="",F274=0),"",E274/F274*1000)</f>
        <v/>
      </c>
    </row>
    <row r="275">
      <c r="A275" s="9" t="n"/>
      <c r="B275" s="8" t="n"/>
      <c r="C275" s="8" t="n"/>
      <c r="D275">
        <f>IF(B275="","",IFERROR(VLOOKUP(B275,Baseline!$A:$B,2,FALSE),0))</f>
        <v/>
      </c>
      <c r="E275">
        <f>IF(B275="","",MAX(0,N(C275)-N(D275)))</f>
        <v/>
      </c>
      <c r="F275">
        <f>IF(A275="","",SUMIFS(Videos!$F:$F,Videos!$E:$E,A275))</f>
        <v/>
      </c>
      <c r="G275" s="4">
        <f>IF(OR(F275="",F275=0),"",E275/F275*1000)</f>
        <v/>
      </c>
    </row>
    <row r="276">
      <c r="A276" s="9" t="n"/>
      <c r="B276" s="8" t="n"/>
      <c r="C276" s="8" t="n"/>
      <c r="D276">
        <f>IF(B276="","",IFERROR(VLOOKUP(B276,Baseline!$A:$B,2,FALSE),0))</f>
        <v/>
      </c>
      <c r="E276">
        <f>IF(B276="","",MAX(0,N(C276)-N(D276)))</f>
        <v/>
      </c>
      <c r="F276">
        <f>IF(A276="","",SUMIFS(Videos!$F:$F,Videos!$E:$E,A276))</f>
        <v/>
      </c>
      <c r="G276" s="4">
        <f>IF(OR(F276="",F276=0),"",E276/F276*1000)</f>
        <v/>
      </c>
    </row>
    <row r="277">
      <c r="A277" s="9" t="n"/>
      <c r="B277" s="8" t="n"/>
      <c r="C277" s="8" t="n"/>
      <c r="D277">
        <f>IF(B277="","",IFERROR(VLOOKUP(B277,Baseline!$A:$B,2,FALSE),0))</f>
        <v/>
      </c>
      <c r="E277">
        <f>IF(B277="","",MAX(0,N(C277)-N(D277)))</f>
        <v/>
      </c>
      <c r="F277">
        <f>IF(A277="","",SUMIFS(Videos!$F:$F,Videos!$E:$E,A277))</f>
        <v/>
      </c>
      <c r="G277" s="4">
        <f>IF(OR(F277="",F277=0),"",E277/F277*1000)</f>
        <v/>
      </c>
    </row>
    <row r="278">
      <c r="A278" s="9" t="n"/>
      <c r="B278" s="8" t="n"/>
      <c r="C278" s="8" t="n"/>
      <c r="D278">
        <f>IF(B278="","",IFERROR(VLOOKUP(B278,Baseline!$A:$B,2,FALSE),0))</f>
        <v/>
      </c>
      <c r="E278">
        <f>IF(B278="","",MAX(0,N(C278)-N(D278)))</f>
        <v/>
      </c>
      <c r="F278">
        <f>IF(A278="","",SUMIFS(Videos!$F:$F,Videos!$E:$E,A278))</f>
        <v/>
      </c>
      <c r="G278" s="4">
        <f>IF(OR(F278="",F278=0),"",E278/F278*1000)</f>
        <v/>
      </c>
    </row>
    <row r="279">
      <c r="A279" s="9" t="n"/>
      <c r="B279" s="8" t="n"/>
      <c r="C279" s="8" t="n"/>
      <c r="D279">
        <f>IF(B279="","",IFERROR(VLOOKUP(B279,Baseline!$A:$B,2,FALSE),0))</f>
        <v/>
      </c>
      <c r="E279">
        <f>IF(B279="","",MAX(0,N(C279)-N(D279)))</f>
        <v/>
      </c>
      <c r="F279">
        <f>IF(A279="","",SUMIFS(Videos!$F:$F,Videos!$E:$E,A279))</f>
        <v/>
      </c>
      <c r="G279" s="4">
        <f>IF(OR(F279="",F279=0),"",E279/F279*1000)</f>
        <v/>
      </c>
    </row>
    <row r="280">
      <c r="A280" s="9" t="n"/>
      <c r="B280" s="8" t="n"/>
      <c r="C280" s="8" t="n"/>
      <c r="D280">
        <f>IF(B280="","",IFERROR(VLOOKUP(B280,Baseline!$A:$B,2,FALSE),0))</f>
        <v/>
      </c>
      <c r="E280">
        <f>IF(B280="","",MAX(0,N(C280)-N(D280)))</f>
        <v/>
      </c>
      <c r="F280">
        <f>IF(A280="","",SUMIFS(Videos!$F:$F,Videos!$E:$E,A280))</f>
        <v/>
      </c>
      <c r="G280" s="4">
        <f>IF(OR(F280="",F280=0),"",E280/F280*1000)</f>
        <v/>
      </c>
    </row>
    <row r="281">
      <c r="A281" s="9" t="n"/>
      <c r="B281" s="8" t="n"/>
      <c r="C281" s="8" t="n"/>
      <c r="D281">
        <f>IF(B281="","",IFERROR(VLOOKUP(B281,Baseline!$A:$B,2,FALSE),0))</f>
        <v/>
      </c>
      <c r="E281">
        <f>IF(B281="","",MAX(0,N(C281)-N(D281)))</f>
        <v/>
      </c>
      <c r="F281">
        <f>IF(A281="","",SUMIFS(Videos!$F:$F,Videos!$E:$E,A281))</f>
        <v/>
      </c>
      <c r="G281" s="4">
        <f>IF(OR(F281="",F281=0),"",E281/F281*1000)</f>
        <v/>
      </c>
    </row>
    <row r="282">
      <c r="A282" s="9" t="n"/>
      <c r="B282" s="8" t="n"/>
      <c r="C282" s="8" t="n"/>
      <c r="D282">
        <f>IF(B282="","",IFERROR(VLOOKUP(B282,Baseline!$A:$B,2,FALSE),0))</f>
        <v/>
      </c>
      <c r="E282">
        <f>IF(B282="","",MAX(0,N(C282)-N(D282)))</f>
        <v/>
      </c>
      <c r="F282">
        <f>IF(A282="","",SUMIFS(Videos!$F:$F,Videos!$E:$E,A282))</f>
        <v/>
      </c>
      <c r="G282" s="4">
        <f>IF(OR(F282="",F282=0),"",E282/F282*1000)</f>
        <v/>
      </c>
    </row>
    <row r="283">
      <c r="A283" s="9" t="n"/>
      <c r="B283" s="8" t="n"/>
      <c r="C283" s="8" t="n"/>
      <c r="D283">
        <f>IF(B283="","",IFERROR(VLOOKUP(B283,Baseline!$A:$B,2,FALSE),0))</f>
        <v/>
      </c>
      <c r="E283">
        <f>IF(B283="","",MAX(0,N(C283)-N(D283)))</f>
        <v/>
      </c>
      <c r="F283">
        <f>IF(A283="","",SUMIFS(Videos!$F:$F,Videos!$E:$E,A283))</f>
        <v/>
      </c>
      <c r="G283" s="4">
        <f>IF(OR(F283="",F283=0),"",E283/F283*1000)</f>
        <v/>
      </c>
    </row>
    <row r="284">
      <c r="A284" s="9" t="n"/>
      <c r="B284" s="8" t="n"/>
      <c r="C284" s="8" t="n"/>
      <c r="D284">
        <f>IF(B284="","",IFERROR(VLOOKUP(B284,Baseline!$A:$B,2,FALSE),0))</f>
        <v/>
      </c>
      <c r="E284">
        <f>IF(B284="","",MAX(0,N(C284)-N(D284)))</f>
        <v/>
      </c>
      <c r="F284">
        <f>IF(A284="","",SUMIFS(Videos!$F:$F,Videos!$E:$E,A284))</f>
        <v/>
      </c>
      <c r="G284" s="4">
        <f>IF(OR(F284="",F284=0),"",E284/F284*1000)</f>
        <v/>
      </c>
    </row>
    <row r="285">
      <c r="A285" s="9" t="n"/>
      <c r="B285" s="8" t="n"/>
      <c r="C285" s="8" t="n"/>
      <c r="D285">
        <f>IF(B285="","",IFERROR(VLOOKUP(B285,Baseline!$A:$B,2,FALSE),0))</f>
        <v/>
      </c>
      <c r="E285">
        <f>IF(B285="","",MAX(0,N(C285)-N(D285)))</f>
        <v/>
      </c>
      <c r="F285">
        <f>IF(A285="","",SUMIFS(Videos!$F:$F,Videos!$E:$E,A285))</f>
        <v/>
      </c>
      <c r="G285" s="4">
        <f>IF(OR(F285="",F285=0),"",E285/F285*1000)</f>
        <v/>
      </c>
    </row>
    <row r="286">
      <c r="A286" s="9" t="n"/>
      <c r="B286" s="8" t="n"/>
      <c r="C286" s="8" t="n"/>
      <c r="D286">
        <f>IF(B286="","",IFERROR(VLOOKUP(B286,Baseline!$A:$B,2,FALSE),0))</f>
        <v/>
      </c>
      <c r="E286">
        <f>IF(B286="","",MAX(0,N(C286)-N(D286)))</f>
        <v/>
      </c>
      <c r="F286">
        <f>IF(A286="","",SUMIFS(Videos!$F:$F,Videos!$E:$E,A286))</f>
        <v/>
      </c>
      <c r="G286" s="4">
        <f>IF(OR(F286="",F286=0),"",E286/F286*1000)</f>
        <v/>
      </c>
    </row>
    <row r="287">
      <c r="A287" s="9" t="n"/>
      <c r="B287" s="8" t="n"/>
      <c r="C287" s="8" t="n"/>
      <c r="D287">
        <f>IF(B287="","",IFERROR(VLOOKUP(B287,Baseline!$A:$B,2,FALSE),0))</f>
        <v/>
      </c>
      <c r="E287">
        <f>IF(B287="","",MAX(0,N(C287)-N(D287)))</f>
        <v/>
      </c>
      <c r="F287">
        <f>IF(A287="","",SUMIFS(Videos!$F:$F,Videos!$E:$E,A287))</f>
        <v/>
      </c>
      <c r="G287" s="4">
        <f>IF(OR(F287="",F287=0),"",E287/F287*1000)</f>
        <v/>
      </c>
    </row>
    <row r="288">
      <c r="A288" s="9" t="n"/>
      <c r="B288" s="8" t="n"/>
      <c r="C288" s="8" t="n"/>
      <c r="D288">
        <f>IF(B288="","",IFERROR(VLOOKUP(B288,Baseline!$A:$B,2,FALSE),0))</f>
        <v/>
      </c>
      <c r="E288">
        <f>IF(B288="","",MAX(0,N(C288)-N(D288)))</f>
        <v/>
      </c>
      <c r="F288">
        <f>IF(A288="","",SUMIFS(Videos!$F:$F,Videos!$E:$E,A288))</f>
        <v/>
      </c>
      <c r="G288" s="4">
        <f>IF(OR(F288="",F288=0),"",E288/F288*1000)</f>
        <v/>
      </c>
    </row>
    <row r="289">
      <c r="A289" s="9" t="n"/>
      <c r="B289" s="8" t="n"/>
      <c r="C289" s="8" t="n"/>
      <c r="D289">
        <f>IF(B289="","",IFERROR(VLOOKUP(B289,Baseline!$A:$B,2,FALSE),0))</f>
        <v/>
      </c>
      <c r="E289">
        <f>IF(B289="","",MAX(0,N(C289)-N(D289)))</f>
        <v/>
      </c>
      <c r="F289">
        <f>IF(A289="","",SUMIFS(Videos!$F:$F,Videos!$E:$E,A289))</f>
        <v/>
      </c>
      <c r="G289" s="4">
        <f>IF(OR(F289="",F289=0),"",E289/F289*1000)</f>
        <v/>
      </c>
    </row>
    <row r="290">
      <c r="A290" s="9" t="n"/>
      <c r="B290" s="8" t="n"/>
      <c r="C290" s="8" t="n"/>
      <c r="D290">
        <f>IF(B290="","",IFERROR(VLOOKUP(B290,Baseline!$A:$B,2,FALSE),0))</f>
        <v/>
      </c>
      <c r="E290">
        <f>IF(B290="","",MAX(0,N(C290)-N(D290)))</f>
        <v/>
      </c>
      <c r="F290">
        <f>IF(A290="","",SUMIFS(Videos!$F:$F,Videos!$E:$E,A290))</f>
        <v/>
      </c>
      <c r="G290" s="4">
        <f>IF(OR(F290="",F290=0),"",E290/F290*1000)</f>
        <v/>
      </c>
    </row>
    <row r="291">
      <c r="A291" s="9" t="n"/>
      <c r="B291" s="8" t="n"/>
      <c r="C291" s="8" t="n"/>
      <c r="D291">
        <f>IF(B291="","",IFERROR(VLOOKUP(B291,Baseline!$A:$B,2,FALSE),0))</f>
        <v/>
      </c>
      <c r="E291">
        <f>IF(B291="","",MAX(0,N(C291)-N(D291)))</f>
        <v/>
      </c>
      <c r="F291">
        <f>IF(A291="","",SUMIFS(Videos!$F:$F,Videos!$E:$E,A291))</f>
        <v/>
      </c>
      <c r="G291" s="4">
        <f>IF(OR(F291="",F291=0),"",E291/F291*1000)</f>
        <v/>
      </c>
    </row>
    <row r="292">
      <c r="A292" s="9" t="n"/>
      <c r="B292" s="8" t="n"/>
      <c r="C292" s="8" t="n"/>
      <c r="D292">
        <f>IF(B292="","",IFERROR(VLOOKUP(B292,Baseline!$A:$B,2,FALSE),0))</f>
        <v/>
      </c>
      <c r="E292">
        <f>IF(B292="","",MAX(0,N(C292)-N(D292)))</f>
        <v/>
      </c>
      <c r="F292">
        <f>IF(A292="","",SUMIFS(Videos!$F:$F,Videos!$E:$E,A292))</f>
        <v/>
      </c>
      <c r="G292" s="4">
        <f>IF(OR(F292="",F292=0),"",E292/F292*1000)</f>
        <v/>
      </c>
    </row>
    <row r="293">
      <c r="A293" s="9" t="n"/>
      <c r="B293" s="8" t="n"/>
      <c r="C293" s="8" t="n"/>
      <c r="D293">
        <f>IF(B293="","",IFERROR(VLOOKUP(B293,Baseline!$A:$B,2,FALSE),0))</f>
        <v/>
      </c>
      <c r="E293">
        <f>IF(B293="","",MAX(0,N(C293)-N(D293)))</f>
        <v/>
      </c>
      <c r="F293">
        <f>IF(A293="","",SUMIFS(Videos!$F:$F,Videos!$E:$E,A293))</f>
        <v/>
      </c>
      <c r="G293" s="4">
        <f>IF(OR(F293="",F293=0),"",E293/F293*1000)</f>
        <v/>
      </c>
    </row>
    <row r="294">
      <c r="A294" s="9" t="n"/>
      <c r="B294" s="8" t="n"/>
      <c r="C294" s="8" t="n"/>
      <c r="D294">
        <f>IF(B294="","",IFERROR(VLOOKUP(B294,Baseline!$A:$B,2,FALSE),0))</f>
        <v/>
      </c>
      <c r="E294">
        <f>IF(B294="","",MAX(0,N(C294)-N(D294)))</f>
        <v/>
      </c>
      <c r="F294">
        <f>IF(A294="","",SUMIFS(Videos!$F:$F,Videos!$E:$E,A294))</f>
        <v/>
      </c>
      <c r="G294" s="4">
        <f>IF(OR(F294="",F294=0),"",E294/F294*1000)</f>
        <v/>
      </c>
    </row>
    <row r="295">
      <c r="A295" s="9" t="n"/>
      <c r="B295" s="8" t="n"/>
      <c r="C295" s="8" t="n"/>
      <c r="D295">
        <f>IF(B295="","",IFERROR(VLOOKUP(B295,Baseline!$A:$B,2,FALSE),0))</f>
        <v/>
      </c>
      <c r="E295">
        <f>IF(B295="","",MAX(0,N(C295)-N(D295)))</f>
        <v/>
      </c>
      <c r="F295">
        <f>IF(A295="","",SUMIFS(Videos!$F:$F,Videos!$E:$E,A295))</f>
        <v/>
      </c>
      <c r="G295" s="4">
        <f>IF(OR(F295="",F295=0),"",E295/F295*1000)</f>
        <v/>
      </c>
    </row>
    <row r="296">
      <c r="A296" s="9" t="n"/>
      <c r="B296" s="8" t="n"/>
      <c r="C296" s="8" t="n"/>
      <c r="D296">
        <f>IF(B296="","",IFERROR(VLOOKUP(B296,Baseline!$A:$B,2,FALSE),0))</f>
        <v/>
      </c>
      <c r="E296">
        <f>IF(B296="","",MAX(0,N(C296)-N(D296)))</f>
        <v/>
      </c>
      <c r="F296">
        <f>IF(A296="","",SUMIFS(Videos!$F:$F,Videos!$E:$E,A296))</f>
        <v/>
      </c>
      <c r="G296" s="4">
        <f>IF(OR(F296="",F296=0),"",E296/F296*1000)</f>
        <v/>
      </c>
    </row>
    <row r="297">
      <c r="A297" s="9" t="n"/>
      <c r="B297" s="8" t="n"/>
      <c r="C297" s="8" t="n"/>
      <c r="D297">
        <f>IF(B297="","",IFERROR(VLOOKUP(B297,Baseline!$A:$B,2,FALSE),0))</f>
        <v/>
      </c>
      <c r="E297">
        <f>IF(B297="","",MAX(0,N(C297)-N(D297)))</f>
        <v/>
      </c>
      <c r="F297">
        <f>IF(A297="","",SUMIFS(Videos!$F:$F,Videos!$E:$E,A297))</f>
        <v/>
      </c>
      <c r="G297" s="4">
        <f>IF(OR(F297="",F297=0),"",E297/F297*1000)</f>
        <v/>
      </c>
    </row>
    <row r="298">
      <c r="A298" s="9" t="n"/>
      <c r="B298" s="8" t="n"/>
      <c r="C298" s="8" t="n"/>
      <c r="D298">
        <f>IF(B298="","",IFERROR(VLOOKUP(B298,Baseline!$A:$B,2,FALSE),0))</f>
        <v/>
      </c>
      <c r="E298">
        <f>IF(B298="","",MAX(0,N(C298)-N(D298)))</f>
        <v/>
      </c>
      <c r="F298">
        <f>IF(A298="","",SUMIFS(Videos!$F:$F,Videos!$E:$E,A298))</f>
        <v/>
      </c>
      <c r="G298" s="4">
        <f>IF(OR(F298="",F298=0),"",E298/F298*1000)</f>
        <v/>
      </c>
    </row>
    <row r="299">
      <c r="A299" s="9" t="n"/>
      <c r="B299" s="8" t="n"/>
      <c r="C299" s="8" t="n"/>
      <c r="D299">
        <f>IF(B299="","",IFERROR(VLOOKUP(B299,Baseline!$A:$B,2,FALSE),0))</f>
        <v/>
      </c>
      <c r="E299">
        <f>IF(B299="","",MAX(0,N(C299)-N(D299)))</f>
        <v/>
      </c>
      <c r="F299">
        <f>IF(A299="","",SUMIFS(Videos!$F:$F,Videos!$E:$E,A299))</f>
        <v/>
      </c>
      <c r="G299" s="4">
        <f>IF(OR(F299="",F299=0),"",E299/F299*1000)</f>
        <v/>
      </c>
    </row>
    <row r="300">
      <c r="A300" s="9" t="n"/>
      <c r="B300" s="8" t="n"/>
      <c r="C300" s="8" t="n"/>
      <c r="D300">
        <f>IF(B300="","",IFERROR(VLOOKUP(B300,Baseline!$A:$B,2,FALSE),0))</f>
        <v/>
      </c>
      <c r="E300">
        <f>IF(B300="","",MAX(0,N(C300)-N(D300)))</f>
        <v/>
      </c>
      <c r="F300">
        <f>IF(A300="","",SUMIFS(Videos!$F:$F,Videos!$E:$E,A300))</f>
        <v/>
      </c>
      <c r="G300" s="4">
        <f>IF(OR(F300="",F300=0),"",E300/F300*1000)</f>
        <v/>
      </c>
    </row>
    <row r="301">
      <c r="A301" s="9" t="n"/>
      <c r="B301" s="8" t="n"/>
      <c r="C301" s="8" t="n"/>
      <c r="D301">
        <f>IF(B301="","",IFERROR(VLOOKUP(B301,Baseline!$A:$B,2,FALSE),0))</f>
        <v/>
      </c>
      <c r="E301">
        <f>IF(B301="","",MAX(0,N(C301)-N(D301)))</f>
        <v/>
      </c>
      <c r="F301">
        <f>IF(A301="","",SUMIFS(Videos!$F:$F,Videos!$E:$E,A301))</f>
        <v/>
      </c>
      <c r="G301" s="4">
        <f>IF(OR(F301="",F301=0),"",E301/F301*1000)</f>
        <v/>
      </c>
    </row>
    <row r="302">
      <c r="A302" s="9" t="n"/>
      <c r="B302" s="8" t="n"/>
      <c r="C302" s="8" t="n"/>
      <c r="D302">
        <f>IF(B302="","",IFERROR(VLOOKUP(B302,Baseline!$A:$B,2,FALSE),0))</f>
        <v/>
      </c>
      <c r="E302">
        <f>IF(B302="","",MAX(0,N(C302)-N(D302)))</f>
        <v/>
      </c>
      <c r="F302">
        <f>IF(A302="","",SUMIFS(Videos!$F:$F,Videos!$E:$E,A302))</f>
        <v/>
      </c>
      <c r="G302" s="4">
        <f>IF(OR(F302="",F302=0),"",E302/F302*1000)</f>
        <v/>
      </c>
    </row>
    <row r="303">
      <c r="A303" s="9" t="n"/>
      <c r="B303" s="8" t="n"/>
      <c r="C303" s="8" t="n"/>
      <c r="D303">
        <f>IF(B303="","",IFERROR(VLOOKUP(B303,Baseline!$A:$B,2,FALSE),0))</f>
        <v/>
      </c>
      <c r="E303">
        <f>IF(B303="","",MAX(0,N(C303)-N(D303)))</f>
        <v/>
      </c>
      <c r="F303">
        <f>IF(A303="","",SUMIFS(Videos!$F:$F,Videos!$E:$E,A303))</f>
        <v/>
      </c>
      <c r="G303" s="4">
        <f>IF(OR(F303="",F303=0),"",E303/F303*1000)</f>
        <v/>
      </c>
    </row>
    <row r="304">
      <c r="A304" s="9" t="n"/>
      <c r="B304" s="8" t="n"/>
      <c r="C304" s="8" t="n"/>
      <c r="D304">
        <f>IF(B304="","",IFERROR(VLOOKUP(B304,Baseline!$A:$B,2,FALSE),0))</f>
        <v/>
      </c>
      <c r="E304">
        <f>IF(B304="","",MAX(0,N(C304)-N(D304)))</f>
        <v/>
      </c>
      <c r="F304">
        <f>IF(A304="","",SUMIFS(Videos!$F:$F,Videos!$E:$E,A304))</f>
        <v/>
      </c>
      <c r="G304" s="4">
        <f>IF(OR(F304="",F304=0),"",E304/F304*1000)</f>
        <v/>
      </c>
    </row>
    <row r="305">
      <c r="A305" s="9" t="n"/>
      <c r="B305" s="8" t="n"/>
      <c r="C305" s="8" t="n"/>
      <c r="D305">
        <f>IF(B305="","",IFERROR(VLOOKUP(B305,Baseline!$A:$B,2,FALSE),0))</f>
        <v/>
      </c>
      <c r="E305">
        <f>IF(B305="","",MAX(0,N(C305)-N(D305)))</f>
        <v/>
      </c>
      <c r="F305">
        <f>IF(A305="","",SUMIFS(Videos!$F:$F,Videos!$E:$E,A305))</f>
        <v/>
      </c>
      <c r="G305" s="4">
        <f>IF(OR(F305="",F305=0),"",E305/F305*1000)</f>
        <v/>
      </c>
    </row>
    <row r="306">
      <c r="A306" s="9" t="n"/>
      <c r="B306" s="8" t="n"/>
      <c r="C306" s="8" t="n"/>
      <c r="D306">
        <f>IF(B306="","",IFERROR(VLOOKUP(B306,Baseline!$A:$B,2,FALSE),0))</f>
        <v/>
      </c>
      <c r="E306">
        <f>IF(B306="","",MAX(0,N(C306)-N(D306)))</f>
        <v/>
      </c>
      <c r="F306">
        <f>IF(A306="","",SUMIFS(Videos!$F:$F,Videos!$E:$E,A306))</f>
        <v/>
      </c>
      <c r="G306" s="4">
        <f>IF(OR(F306="",F306=0),"",E306/F306*1000)</f>
        <v/>
      </c>
    </row>
    <row r="307">
      <c r="A307" s="9" t="n"/>
      <c r="B307" s="8" t="n"/>
      <c r="C307" s="8" t="n"/>
      <c r="D307">
        <f>IF(B307="","",IFERROR(VLOOKUP(B307,Baseline!$A:$B,2,FALSE),0))</f>
        <v/>
      </c>
      <c r="E307">
        <f>IF(B307="","",MAX(0,N(C307)-N(D307)))</f>
        <v/>
      </c>
      <c r="F307">
        <f>IF(A307="","",SUMIFS(Videos!$F:$F,Videos!$E:$E,A307))</f>
        <v/>
      </c>
      <c r="G307" s="4">
        <f>IF(OR(F307="",F307=0),"",E307/F307*1000)</f>
        <v/>
      </c>
    </row>
    <row r="308">
      <c r="A308" s="9" t="n"/>
      <c r="B308" s="8" t="n"/>
      <c r="C308" s="8" t="n"/>
      <c r="D308">
        <f>IF(B308="","",IFERROR(VLOOKUP(B308,Baseline!$A:$B,2,FALSE),0))</f>
        <v/>
      </c>
      <c r="E308">
        <f>IF(B308="","",MAX(0,N(C308)-N(D308)))</f>
        <v/>
      </c>
      <c r="F308">
        <f>IF(A308="","",SUMIFS(Videos!$F:$F,Videos!$E:$E,A308))</f>
        <v/>
      </c>
      <c r="G308" s="4">
        <f>IF(OR(F308="",F308=0),"",E308/F308*1000)</f>
        <v/>
      </c>
    </row>
    <row r="309">
      <c r="A309" s="9" t="n"/>
      <c r="B309" s="8" t="n"/>
      <c r="C309" s="8" t="n"/>
      <c r="D309">
        <f>IF(B309="","",IFERROR(VLOOKUP(B309,Baseline!$A:$B,2,FALSE),0))</f>
        <v/>
      </c>
      <c r="E309">
        <f>IF(B309="","",MAX(0,N(C309)-N(D309)))</f>
        <v/>
      </c>
      <c r="F309">
        <f>IF(A309="","",SUMIFS(Videos!$F:$F,Videos!$E:$E,A309))</f>
        <v/>
      </c>
      <c r="G309" s="4">
        <f>IF(OR(F309="",F309=0),"",E309/F309*1000)</f>
        <v/>
      </c>
    </row>
    <row r="310">
      <c r="A310" s="9" t="n"/>
      <c r="B310" s="8" t="n"/>
      <c r="C310" s="8" t="n"/>
      <c r="D310">
        <f>IF(B310="","",IFERROR(VLOOKUP(B310,Baseline!$A:$B,2,FALSE),0))</f>
        <v/>
      </c>
      <c r="E310">
        <f>IF(B310="","",MAX(0,N(C310)-N(D310)))</f>
        <v/>
      </c>
      <c r="F310">
        <f>IF(A310="","",SUMIFS(Videos!$F:$F,Videos!$E:$E,A310))</f>
        <v/>
      </c>
      <c r="G310" s="4">
        <f>IF(OR(F310="",F310=0),"",E310/F310*1000)</f>
        <v/>
      </c>
    </row>
    <row r="311">
      <c r="A311" s="9" t="n"/>
      <c r="B311" s="8" t="n"/>
      <c r="C311" s="8" t="n"/>
      <c r="D311">
        <f>IF(B311="","",IFERROR(VLOOKUP(B311,Baseline!$A:$B,2,FALSE),0))</f>
        <v/>
      </c>
      <c r="E311">
        <f>IF(B311="","",MAX(0,N(C311)-N(D311)))</f>
        <v/>
      </c>
      <c r="F311">
        <f>IF(A311="","",SUMIFS(Videos!$F:$F,Videos!$E:$E,A311))</f>
        <v/>
      </c>
      <c r="G311" s="4">
        <f>IF(OR(F311="",F311=0),"",E311/F311*1000)</f>
        <v/>
      </c>
    </row>
    <row r="312">
      <c r="A312" s="9" t="n"/>
      <c r="B312" s="8" t="n"/>
      <c r="C312" s="8" t="n"/>
      <c r="D312">
        <f>IF(B312="","",IFERROR(VLOOKUP(B312,Baseline!$A:$B,2,FALSE),0))</f>
        <v/>
      </c>
      <c r="E312">
        <f>IF(B312="","",MAX(0,N(C312)-N(D312)))</f>
        <v/>
      </c>
      <c r="F312">
        <f>IF(A312="","",SUMIFS(Videos!$F:$F,Videos!$E:$E,A312))</f>
        <v/>
      </c>
      <c r="G312" s="4">
        <f>IF(OR(F312="",F312=0),"",E312/F312*1000)</f>
        <v/>
      </c>
    </row>
    <row r="313">
      <c r="A313" s="9" t="n"/>
      <c r="B313" s="8" t="n"/>
      <c r="C313" s="8" t="n"/>
      <c r="D313">
        <f>IF(B313="","",IFERROR(VLOOKUP(B313,Baseline!$A:$B,2,FALSE),0))</f>
        <v/>
      </c>
      <c r="E313">
        <f>IF(B313="","",MAX(0,N(C313)-N(D313)))</f>
        <v/>
      </c>
      <c r="F313">
        <f>IF(A313="","",SUMIFS(Videos!$F:$F,Videos!$E:$E,A313))</f>
        <v/>
      </c>
      <c r="G313" s="4">
        <f>IF(OR(F313="",F313=0),"",E313/F313*1000)</f>
        <v/>
      </c>
    </row>
    <row r="314">
      <c r="A314" s="9" t="n"/>
      <c r="B314" s="8" t="n"/>
      <c r="C314" s="8" t="n"/>
      <c r="D314">
        <f>IF(B314="","",IFERROR(VLOOKUP(B314,Baseline!$A:$B,2,FALSE),0))</f>
        <v/>
      </c>
      <c r="E314">
        <f>IF(B314="","",MAX(0,N(C314)-N(D314)))</f>
        <v/>
      </c>
      <c r="F314">
        <f>IF(A314="","",SUMIFS(Videos!$F:$F,Videos!$E:$E,A314))</f>
        <v/>
      </c>
      <c r="G314" s="4">
        <f>IF(OR(F314="",F314=0),"",E314/F314*1000)</f>
        <v/>
      </c>
    </row>
    <row r="315">
      <c r="A315" s="9" t="n"/>
      <c r="B315" s="8" t="n"/>
      <c r="C315" s="8" t="n"/>
      <c r="D315">
        <f>IF(B315="","",IFERROR(VLOOKUP(B315,Baseline!$A:$B,2,FALSE),0))</f>
        <v/>
      </c>
      <c r="E315">
        <f>IF(B315="","",MAX(0,N(C315)-N(D315)))</f>
        <v/>
      </c>
      <c r="F315">
        <f>IF(A315="","",SUMIFS(Videos!$F:$F,Videos!$E:$E,A315))</f>
        <v/>
      </c>
      <c r="G315" s="4">
        <f>IF(OR(F315="",F315=0),"",E315/F315*1000)</f>
        <v/>
      </c>
    </row>
    <row r="316">
      <c r="A316" s="9" t="n"/>
      <c r="B316" s="8" t="n"/>
      <c r="C316" s="8" t="n"/>
      <c r="D316">
        <f>IF(B316="","",IFERROR(VLOOKUP(B316,Baseline!$A:$B,2,FALSE),0))</f>
        <v/>
      </c>
      <c r="E316">
        <f>IF(B316="","",MAX(0,N(C316)-N(D316)))</f>
        <v/>
      </c>
      <c r="F316">
        <f>IF(A316="","",SUMIFS(Videos!$F:$F,Videos!$E:$E,A316))</f>
        <v/>
      </c>
      <c r="G316" s="4">
        <f>IF(OR(F316="",F316=0),"",E316/F316*1000)</f>
        <v/>
      </c>
    </row>
    <row r="317">
      <c r="A317" s="9" t="n"/>
      <c r="B317" s="8" t="n"/>
      <c r="C317" s="8" t="n"/>
      <c r="D317">
        <f>IF(B317="","",IFERROR(VLOOKUP(B317,Baseline!$A:$B,2,FALSE),0))</f>
        <v/>
      </c>
      <c r="E317">
        <f>IF(B317="","",MAX(0,N(C317)-N(D317)))</f>
        <v/>
      </c>
      <c r="F317">
        <f>IF(A317="","",SUMIFS(Videos!$F:$F,Videos!$E:$E,A317))</f>
        <v/>
      </c>
      <c r="G317" s="4">
        <f>IF(OR(F317="",F317=0),"",E317/F317*1000)</f>
        <v/>
      </c>
    </row>
    <row r="318">
      <c r="A318" s="9" t="n"/>
      <c r="B318" s="8" t="n"/>
      <c r="C318" s="8" t="n"/>
      <c r="D318">
        <f>IF(B318="","",IFERROR(VLOOKUP(B318,Baseline!$A:$B,2,FALSE),0))</f>
        <v/>
      </c>
      <c r="E318">
        <f>IF(B318="","",MAX(0,N(C318)-N(D318)))</f>
        <v/>
      </c>
      <c r="F318">
        <f>IF(A318="","",SUMIFS(Videos!$F:$F,Videos!$E:$E,A318))</f>
        <v/>
      </c>
      <c r="G318" s="4">
        <f>IF(OR(F318="",F318=0),"",E318/F318*1000)</f>
        <v/>
      </c>
    </row>
    <row r="319">
      <c r="A319" s="9" t="n"/>
      <c r="B319" s="8" t="n"/>
      <c r="C319" s="8" t="n"/>
      <c r="D319">
        <f>IF(B319="","",IFERROR(VLOOKUP(B319,Baseline!$A:$B,2,FALSE),0))</f>
        <v/>
      </c>
      <c r="E319">
        <f>IF(B319="","",MAX(0,N(C319)-N(D319)))</f>
        <v/>
      </c>
      <c r="F319">
        <f>IF(A319="","",SUMIFS(Videos!$F:$F,Videos!$E:$E,A319))</f>
        <v/>
      </c>
      <c r="G319" s="4">
        <f>IF(OR(F319="",F319=0),"",E319/F319*1000)</f>
        <v/>
      </c>
    </row>
    <row r="320">
      <c r="A320" s="9" t="n"/>
      <c r="B320" s="8" t="n"/>
      <c r="C320" s="8" t="n"/>
      <c r="D320">
        <f>IF(B320="","",IFERROR(VLOOKUP(B320,Baseline!$A:$B,2,FALSE),0))</f>
        <v/>
      </c>
      <c r="E320">
        <f>IF(B320="","",MAX(0,N(C320)-N(D320)))</f>
        <v/>
      </c>
      <c r="F320">
        <f>IF(A320="","",SUMIFS(Videos!$F:$F,Videos!$E:$E,A320))</f>
        <v/>
      </c>
      <c r="G320" s="4">
        <f>IF(OR(F320="",F320=0),"",E320/F320*1000)</f>
        <v/>
      </c>
    </row>
    <row r="321">
      <c r="A321" s="9" t="n"/>
      <c r="B321" s="8" t="n"/>
      <c r="C321" s="8" t="n"/>
      <c r="D321">
        <f>IF(B321="","",IFERROR(VLOOKUP(B321,Baseline!$A:$B,2,FALSE),0))</f>
        <v/>
      </c>
      <c r="E321">
        <f>IF(B321="","",MAX(0,N(C321)-N(D321)))</f>
        <v/>
      </c>
      <c r="F321">
        <f>IF(A321="","",SUMIFS(Videos!$F:$F,Videos!$E:$E,A321))</f>
        <v/>
      </c>
      <c r="G321" s="4">
        <f>IF(OR(F321="",F321=0),"",E321/F321*1000)</f>
        <v/>
      </c>
    </row>
    <row r="322">
      <c r="A322" s="9" t="n"/>
      <c r="B322" s="8" t="n"/>
      <c r="C322" s="8" t="n"/>
      <c r="D322">
        <f>IF(B322="","",IFERROR(VLOOKUP(B322,Baseline!$A:$B,2,FALSE),0))</f>
        <v/>
      </c>
      <c r="E322">
        <f>IF(B322="","",MAX(0,N(C322)-N(D322)))</f>
        <v/>
      </c>
      <c r="F322">
        <f>IF(A322="","",SUMIFS(Videos!$F:$F,Videos!$E:$E,A322))</f>
        <v/>
      </c>
      <c r="G322" s="4">
        <f>IF(OR(F322="",F322=0),"",E322/F322*1000)</f>
        <v/>
      </c>
    </row>
    <row r="323">
      <c r="A323" s="9" t="n"/>
      <c r="B323" s="8" t="n"/>
      <c r="C323" s="8" t="n"/>
      <c r="D323">
        <f>IF(B323="","",IFERROR(VLOOKUP(B323,Baseline!$A:$B,2,FALSE),0))</f>
        <v/>
      </c>
      <c r="E323">
        <f>IF(B323="","",MAX(0,N(C323)-N(D323)))</f>
        <v/>
      </c>
      <c r="F323">
        <f>IF(A323="","",SUMIFS(Videos!$F:$F,Videos!$E:$E,A323))</f>
        <v/>
      </c>
      <c r="G323" s="4">
        <f>IF(OR(F323="",F323=0),"",E323/F323*1000)</f>
        <v/>
      </c>
    </row>
    <row r="324">
      <c r="A324" s="9" t="n"/>
      <c r="B324" s="8" t="n"/>
      <c r="C324" s="8" t="n"/>
      <c r="D324">
        <f>IF(B324="","",IFERROR(VLOOKUP(B324,Baseline!$A:$B,2,FALSE),0))</f>
        <v/>
      </c>
      <c r="E324">
        <f>IF(B324="","",MAX(0,N(C324)-N(D324)))</f>
        <v/>
      </c>
      <c r="F324">
        <f>IF(A324="","",SUMIFS(Videos!$F:$F,Videos!$E:$E,A324))</f>
        <v/>
      </c>
      <c r="G324" s="4">
        <f>IF(OR(F324="",F324=0),"",E324/F324*1000)</f>
        <v/>
      </c>
    </row>
    <row r="325">
      <c r="A325" s="9" t="n"/>
      <c r="B325" s="8" t="n"/>
      <c r="C325" s="8" t="n"/>
      <c r="D325">
        <f>IF(B325="","",IFERROR(VLOOKUP(B325,Baseline!$A:$B,2,FALSE),0))</f>
        <v/>
      </c>
      <c r="E325">
        <f>IF(B325="","",MAX(0,N(C325)-N(D325)))</f>
        <v/>
      </c>
      <c r="F325">
        <f>IF(A325="","",SUMIFS(Videos!$F:$F,Videos!$E:$E,A325))</f>
        <v/>
      </c>
      <c r="G325" s="4">
        <f>IF(OR(F325="",F325=0),"",E325/F325*1000)</f>
        <v/>
      </c>
    </row>
    <row r="326">
      <c r="A326" s="9" t="n"/>
      <c r="B326" s="8" t="n"/>
      <c r="C326" s="8" t="n"/>
      <c r="D326">
        <f>IF(B326="","",IFERROR(VLOOKUP(B326,Baseline!$A:$B,2,FALSE),0))</f>
        <v/>
      </c>
      <c r="E326">
        <f>IF(B326="","",MAX(0,N(C326)-N(D326)))</f>
        <v/>
      </c>
      <c r="F326">
        <f>IF(A326="","",SUMIFS(Videos!$F:$F,Videos!$E:$E,A326))</f>
        <v/>
      </c>
      <c r="G326" s="4">
        <f>IF(OR(F326="",F326=0),"",E326/F326*1000)</f>
        <v/>
      </c>
    </row>
    <row r="327">
      <c r="A327" s="9" t="n"/>
      <c r="B327" s="8" t="n"/>
      <c r="C327" s="8" t="n"/>
      <c r="D327">
        <f>IF(B327="","",IFERROR(VLOOKUP(B327,Baseline!$A:$B,2,FALSE),0))</f>
        <v/>
      </c>
      <c r="E327">
        <f>IF(B327="","",MAX(0,N(C327)-N(D327)))</f>
        <v/>
      </c>
      <c r="F327">
        <f>IF(A327="","",SUMIFS(Videos!$F:$F,Videos!$E:$E,A327))</f>
        <v/>
      </c>
      <c r="G327" s="4">
        <f>IF(OR(F327="",F327=0),"",E327/F327*1000)</f>
        <v/>
      </c>
    </row>
    <row r="328">
      <c r="A328" s="9" t="n"/>
      <c r="B328" s="8" t="n"/>
      <c r="C328" s="8" t="n"/>
      <c r="D328">
        <f>IF(B328="","",IFERROR(VLOOKUP(B328,Baseline!$A:$B,2,FALSE),0))</f>
        <v/>
      </c>
      <c r="E328">
        <f>IF(B328="","",MAX(0,N(C328)-N(D328)))</f>
        <v/>
      </c>
      <c r="F328">
        <f>IF(A328="","",SUMIFS(Videos!$F:$F,Videos!$E:$E,A328))</f>
        <v/>
      </c>
      <c r="G328" s="4">
        <f>IF(OR(F328="",F328=0),"",E328/F328*1000)</f>
        <v/>
      </c>
    </row>
    <row r="329">
      <c r="A329" s="9" t="n"/>
      <c r="B329" s="8" t="n"/>
      <c r="C329" s="8" t="n"/>
      <c r="D329">
        <f>IF(B329="","",IFERROR(VLOOKUP(B329,Baseline!$A:$B,2,FALSE),0))</f>
        <v/>
      </c>
      <c r="E329">
        <f>IF(B329="","",MAX(0,N(C329)-N(D329)))</f>
        <v/>
      </c>
      <c r="F329">
        <f>IF(A329="","",SUMIFS(Videos!$F:$F,Videos!$E:$E,A329))</f>
        <v/>
      </c>
      <c r="G329" s="4">
        <f>IF(OR(F329="",F329=0),"",E329/F329*1000)</f>
        <v/>
      </c>
    </row>
    <row r="330">
      <c r="A330" s="9" t="n"/>
      <c r="B330" s="8" t="n"/>
      <c r="C330" s="8" t="n"/>
      <c r="D330">
        <f>IF(B330="","",IFERROR(VLOOKUP(B330,Baseline!$A:$B,2,FALSE),0))</f>
        <v/>
      </c>
      <c r="E330">
        <f>IF(B330="","",MAX(0,N(C330)-N(D330)))</f>
        <v/>
      </c>
      <c r="F330">
        <f>IF(A330="","",SUMIFS(Videos!$F:$F,Videos!$E:$E,A330))</f>
        <v/>
      </c>
      <c r="G330" s="4">
        <f>IF(OR(F330="",F330=0),"",E330/F330*1000)</f>
        <v/>
      </c>
    </row>
    <row r="331">
      <c r="A331" s="9" t="n"/>
      <c r="B331" s="8" t="n"/>
      <c r="C331" s="8" t="n"/>
      <c r="D331">
        <f>IF(B331="","",IFERROR(VLOOKUP(B331,Baseline!$A:$B,2,FALSE),0))</f>
        <v/>
      </c>
      <c r="E331">
        <f>IF(B331="","",MAX(0,N(C331)-N(D331)))</f>
        <v/>
      </c>
      <c r="F331">
        <f>IF(A331="","",SUMIFS(Videos!$F:$F,Videos!$E:$E,A331))</f>
        <v/>
      </c>
      <c r="G331" s="4">
        <f>IF(OR(F331="",F331=0),"",E331/F331*1000)</f>
        <v/>
      </c>
    </row>
    <row r="332">
      <c r="A332" s="9" t="n"/>
      <c r="B332" s="8" t="n"/>
      <c r="C332" s="8" t="n"/>
      <c r="D332">
        <f>IF(B332="","",IFERROR(VLOOKUP(B332,Baseline!$A:$B,2,FALSE),0))</f>
        <v/>
      </c>
      <c r="E332">
        <f>IF(B332="","",MAX(0,N(C332)-N(D332)))</f>
        <v/>
      </c>
      <c r="F332">
        <f>IF(A332="","",SUMIFS(Videos!$F:$F,Videos!$E:$E,A332))</f>
        <v/>
      </c>
      <c r="G332" s="4">
        <f>IF(OR(F332="",F332=0),"",E332/F332*1000)</f>
        <v/>
      </c>
    </row>
    <row r="333">
      <c r="A333" s="9" t="n"/>
      <c r="B333" s="8" t="n"/>
      <c r="C333" s="8" t="n"/>
      <c r="D333">
        <f>IF(B333="","",IFERROR(VLOOKUP(B333,Baseline!$A:$B,2,FALSE),0))</f>
        <v/>
      </c>
      <c r="E333">
        <f>IF(B333="","",MAX(0,N(C333)-N(D333)))</f>
        <v/>
      </c>
      <c r="F333">
        <f>IF(A333="","",SUMIFS(Videos!$F:$F,Videos!$E:$E,A333))</f>
        <v/>
      </c>
      <c r="G333" s="4">
        <f>IF(OR(F333="",F333=0),"",E333/F333*1000)</f>
        <v/>
      </c>
    </row>
    <row r="334">
      <c r="A334" s="9" t="n"/>
      <c r="B334" s="8" t="n"/>
      <c r="C334" s="8" t="n"/>
      <c r="D334">
        <f>IF(B334="","",IFERROR(VLOOKUP(B334,Baseline!$A:$B,2,FALSE),0))</f>
        <v/>
      </c>
      <c r="E334">
        <f>IF(B334="","",MAX(0,N(C334)-N(D334)))</f>
        <v/>
      </c>
      <c r="F334">
        <f>IF(A334="","",SUMIFS(Videos!$F:$F,Videos!$E:$E,A334))</f>
        <v/>
      </c>
      <c r="G334" s="4">
        <f>IF(OR(F334="",F334=0),"",E334/F334*1000)</f>
        <v/>
      </c>
    </row>
    <row r="335">
      <c r="A335" s="9" t="n"/>
      <c r="B335" s="8" t="n"/>
      <c r="C335" s="8" t="n"/>
      <c r="D335">
        <f>IF(B335="","",IFERROR(VLOOKUP(B335,Baseline!$A:$B,2,FALSE),0))</f>
        <v/>
      </c>
      <c r="E335">
        <f>IF(B335="","",MAX(0,N(C335)-N(D335)))</f>
        <v/>
      </c>
      <c r="F335">
        <f>IF(A335="","",SUMIFS(Videos!$F:$F,Videos!$E:$E,A335))</f>
        <v/>
      </c>
      <c r="G335" s="4">
        <f>IF(OR(F335="",F335=0),"",E335/F335*1000)</f>
        <v/>
      </c>
    </row>
    <row r="336">
      <c r="A336" s="9" t="n"/>
      <c r="B336" s="8" t="n"/>
      <c r="C336" s="8" t="n"/>
      <c r="D336">
        <f>IF(B336="","",IFERROR(VLOOKUP(B336,Baseline!$A:$B,2,FALSE),0))</f>
        <v/>
      </c>
      <c r="E336">
        <f>IF(B336="","",MAX(0,N(C336)-N(D336)))</f>
        <v/>
      </c>
      <c r="F336">
        <f>IF(A336="","",SUMIFS(Videos!$F:$F,Videos!$E:$E,A336))</f>
        <v/>
      </c>
      <c r="G336" s="4">
        <f>IF(OR(F336="",F336=0),"",E336/F336*1000)</f>
        <v/>
      </c>
    </row>
    <row r="337">
      <c r="A337" s="9" t="n"/>
      <c r="B337" s="8" t="n"/>
      <c r="C337" s="8" t="n"/>
      <c r="D337">
        <f>IF(B337="","",IFERROR(VLOOKUP(B337,Baseline!$A:$B,2,FALSE),0))</f>
        <v/>
      </c>
      <c r="E337">
        <f>IF(B337="","",MAX(0,N(C337)-N(D337)))</f>
        <v/>
      </c>
      <c r="F337">
        <f>IF(A337="","",SUMIFS(Videos!$F:$F,Videos!$E:$E,A337))</f>
        <v/>
      </c>
      <c r="G337" s="4">
        <f>IF(OR(F337="",F337=0),"",E337/F337*1000)</f>
        <v/>
      </c>
    </row>
    <row r="338">
      <c r="A338" s="9" t="n"/>
      <c r="B338" s="8" t="n"/>
      <c r="C338" s="8" t="n"/>
      <c r="D338">
        <f>IF(B338="","",IFERROR(VLOOKUP(B338,Baseline!$A:$B,2,FALSE),0))</f>
        <v/>
      </c>
      <c r="E338">
        <f>IF(B338="","",MAX(0,N(C338)-N(D338)))</f>
        <v/>
      </c>
      <c r="F338">
        <f>IF(A338="","",SUMIFS(Videos!$F:$F,Videos!$E:$E,A338))</f>
        <v/>
      </c>
      <c r="G338" s="4">
        <f>IF(OR(F338="",F338=0),"",E338/F338*1000)</f>
        <v/>
      </c>
    </row>
    <row r="339">
      <c r="A339" s="9" t="n"/>
      <c r="B339" s="8" t="n"/>
      <c r="C339" s="8" t="n"/>
      <c r="D339">
        <f>IF(B339="","",IFERROR(VLOOKUP(B339,Baseline!$A:$B,2,FALSE),0))</f>
        <v/>
      </c>
      <c r="E339">
        <f>IF(B339="","",MAX(0,N(C339)-N(D339)))</f>
        <v/>
      </c>
      <c r="F339">
        <f>IF(A339="","",SUMIFS(Videos!$F:$F,Videos!$E:$E,A339))</f>
        <v/>
      </c>
      <c r="G339" s="4">
        <f>IF(OR(F339="",F339=0),"",E339/F339*1000)</f>
        <v/>
      </c>
    </row>
    <row r="340">
      <c r="A340" s="9" t="n"/>
      <c r="B340" s="8" t="n"/>
      <c r="C340" s="8" t="n"/>
      <c r="D340">
        <f>IF(B340="","",IFERROR(VLOOKUP(B340,Baseline!$A:$B,2,FALSE),0))</f>
        <v/>
      </c>
      <c r="E340">
        <f>IF(B340="","",MAX(0,N(C340)-N(D340)))</f>
        <v/>
      </c>
      <c r="F340">
        <f>IF(A340="","",SUMIFS(Videos!$F:$F,Videos!$E:$E,A340))</f>
        <v/>
      </c>
      <c r="G340" s="4">
        <f>IF(OR(F340="",F340=0),"",E340/F340*1000)</f>
        <v/>
      </c>
    </row>
    <row r="341">
      <c r="A341" s="9" t="n"/>
      <c r="B341" s="8" t="n"/>
      <c r="C341" s="8" t="n"/>
      <c r="D341">
        <f>IF(B341="","",IFERROR(VLOOKUP(B341,Baseline!$A:$B,2,FALSE),0))</f>
        <v/>
      </c>
      <c r="E341">
        <f>IF(B341="","",MAX(0,N(C341)-N(D341)))</f>
        <v/>
      </c>
      <c r="F341">
        <f>IF(A341="","",SUMIFS(Videos!$F:$F,Videos!$E:$E,A341))</f>
        <v/>
      </c>
      <c r="G341" s="4">
        <f>IF(OR(F341="",F341=0),"",E341/F341*1000)</f>
        <v/>
      </c>
    </row>
    <row r="342">
      <c r="A342" s="9" t="n"/>
      <c r="B342" s="8" t="n"/>
      <c r="C342" s="8" t="n"/>
      <c r="D342">
        <f>IF(B342="","",IFERROR(VLOOKUP(B342,Baseline!$A:$B,2,FALSE),0))</f>
        <v/>
      </c>
      <c r="E342">
        <f>IF(B342="","",MAX(0,N(C342)-N(D342)))</f>
        <v/>
      </c>
      <c r="F342">
        <f>IF(A342="","",SUMIFS(Videos!$F:$F,Videos!$E:$E,A342))</f>
        <v/>
      </c>
      <c r="G342" s="4">
        <f>IF(OR(F342="",F342=0),"",E342/F342*1000)</f>
        <v/>
      </c>
    </row>
    <row r="343">
      <c r="A343" s="9" t="n"/>
      <c r="B343" s="8" t="n"/>
      <c r="C343" s="8" t="n"/>
      <c r="D343">
        <f>IF(B343="","",IFERROR(VLOOKUP(B343,Baseline!$A:$B,2,FALSE),0))</f>
        <v/>
      </c>
      <c r="E343">
        <f>IF(B343="","",MAX(0,N(C343)-N(D343)))</f>
        <v/>
      </c>
      <c r="F343">
        <f>IF(A343="","",SUMIFS(Videos!$F:$F,Videos!$E:$E,A343))</f>
        <v/>
      </c>
      <c r="G343" s="4">
        <f>IF(OR(F343="",F343=0),"",E343/F343*1000)</f>
        <v/>
      </c>
    </row>
    <row r="344">
      <c r="A344" s="9" t="n"/>
      <c r="B344" s="8" t="n"/>
      <c r="C344" s="8" t="n"/>
      <c r="D344">
        <f>IF(B344="","",IFERROR(VLOOKUP(B344,Baseline!$A:$B,2,FALSE),0))</f>
        <v/>
      </c>
      <c r="E344">
        <f>IF(B344="","",MAX(0,N(C344)-N(D344)))</f>
        <v/>
      </c>
      <c r="F344">
        <f>IF(A344="","",SUMIFS(Videos!$F:$F,Videos!$E:$E,A344))</f>
        <v/>
      </c>
      <c r="G344" s="4">
        <f>IF(OR(F344="",F344=0),"",E344/F344*1000)</f>
        <v/>
      </c>
    </row>
    <row r="345">
      <c r="A345" s="9" t="n"/>
      <c r="B345" s="8" t="n"/>
      <c r="C345" s="8" t="n"/>
      <c r="D345">
        <f>IF(B345="","",IFERROR(VLOOKUP(B345,Baseline!$A:$B,2,FALSE),0))</f>
        <v/>
      </c>
      <c r="E345">
        <f>IF(B345="","",MAX(0,N(C345)-N(D345)))</f>
        <v/>
      </c>
      <c r="F345">
        <f>IF(A345="","",SUMIFS(Videos!$F:$F,Videos!$E:$E,A345))</f>
        <v/>
      </c>
      <c r="G345" s="4">
        <f>IF(OR(F345="",F345=0),"",E345/F345*1000)</f>
        <v/>
      </c>
    </row>
    <row r="346">
      <c r="A346" s="9" t="n"/>
      <c r="B346" s="8" t="n"/>
      <c r="C346" s="8" t="n"/>
      <c r="D346">
        <f>IF(B346="","",IFERROR(VLOOKUP(B346,Baseline!$A:$B,2,FALSE),0))</f>
        <v/>
      </c>
      <c r="E346">
        <f>IF(B346="","",MAX(0,N(C346)-N(D346)))</f>
        <v/>
      </c>
      <c r="F346">
        <f>IF(A346="","",SUMIFS(Videos!$F:$F,Videos!$E:$E,A346))</f>
        <v/>
      </c>
      <c r="G346" s="4">
        <f>IF(OR(F346="",F346=0),"",E346/F346*1000)</f>
        <v/>
      </c>
    </row>
    <row r="347">
      <c r="A347" s="9" t="n"/>
      <c r="B347" s="8" t="n"/>
      <c r="C347" s="8" t="n"/>
      <c r="D347">
        <f>IF(B347="","",IFERROR(VLOOKUP(B347,Baseline!$A:$B,2,FALSE),0))</f>
        <v/>
      </c>
      <c r="E347">
        <f>IF(B347="","",MAX(0,N(C347)-N(D347)))</f>
        <v/>
      </c>
      <c r="F347">
        <f>IF(A347="","",SUMIFS(Videos!$F:$F,Videos!$E:$E,A347))</f>
        <v/>
      </c>
      <c r="G347" s="4">
        <f>IF(OR(F347="",F347=0),"",E347/F347*1000)</f>
        <v/>
      </c>
    </row>
    <row r="348">
      <c r="A348" s="9" t="n"/>
      <c r="B348" s="8" t="n"/>
      <c r="C348" s="8" t="n"/>
      <c r="D348">
        <f>IF(B348="","",IFERROR(VLOOKUP(B348,Baseline!$A:$B,2,FALSE),0))</f>
        <v/>
      </c>
      <c r="E348">
        <f>IF(B348="","",MAX(0,N(C348)-N(D348)))</f>
        <v/>
      </c>
      <c r="F348">
        <f>IF(A348="","",SUMIFS(Videos!$F:$F,Videos!$E:$E,A348))</f>
        <v/>
      </c>
      <c r="G348" s="4">
        <f>IF(OR(F348="",F348=0),"",E348/F348*1000)</f>
        <v/>
      </c>
    </row>
    <row r="349">
      <c r="A349" s="9" t="n"/>
      <c r="B349" s="8" t="n"/>
      <c r="C349" s="8" t="n"/>
      <c r="D349">
        <f>IF(B349="","",IFERROR(VLOOKUP(B349,Baseline!$A:$B,2,FALSE),0))</f>
        <v/>
      </c>
      <c r="E349">
        <f>IF(B349="","",MAX(0,N(C349)-N(D349)))</f>
        <v/>
      </c>
      <c r="F349">
        <f>IF(A349="","",SUMIFS(Videos!$F:$F,Videos!$E:$E,A349))</f>
        <v/>
      </c>
      <c r="G349" s="4">
        <f>IF(OR(F349="",F349=0),"",E349/F349*1000)</f>
        <v/>
      </c>
    </row>
    <row r="350">
      <c r="A350" s="9" t="n"/>
      <c r="B350" s="8" t="n"/>
      <c r="C350" s="8" t="n"/>
      <c r="D350">
        <f>IF(B350="","",IFERROR(VLOOKUP(B350,Baseline!$A:$B,2,FALSE),0))</f>
        <v/>
      </c>
      <c r="E350">
        <f>IF(B350="","",MAX(0,N(C350)-N(D350)))</f>
        <v/>
      </c>
      <c r="F350">
        <f>IF(A350="","",SUMIFS(Videos!$F:$F,Videos!$E:$E,A350))</f>
        <v/>
      </c>
      <c r="G350" s="4">
        <f>IF(OR(F350="",F350=0),"",E350/F350*1000)</f>
        <v/>
      </c>
    </row>
    <row r="351">
      <c r="A351" s="9" t="n"/>
      <c r="B351" s="8" t="n"/>
      <c r="C351" s="8" t="n"/>
      <c r="D351">
        <f>IF(B351="","",IFERROR(VLOOKUP(B351,Baseline!$A:$B,2,FALSE),0))</f>
        <v/>
      </c>
      <c r="E351">
        <f>IF(B351="","",MAX(0,N(C351)-N(D351)))</f>
        <v/>
      </c>
      <c r="F351">
        <f>IF(A351="","",SUMIFS(Videos!$F:$F,Videos!$E:$E,A351))</f>
        <v/>
      </c>
      <c r="G351" s="4">
        <f>IF(OR(F351="",F351=0),"",E351/F351*1000)</f>
        <v/>
      </c>
    </row>
    <row r="352">
      <c r="A352" s="9" t="n"/>
      <c r="B352" s="8" t="n"/>
      <c r="C352" s="8" t="n"/>
      <c r="D352">
        <f>IF(B352="","",IFERROR(VLOOKUP(B352,Baseline!$A:$B,2,FALSE),0))</f>
        <v/>
      </c>
      <c r="E352">
        <f>IF(B352="","",MAX(0,N(C352)-N(D352)))</f>
        <v/>
      </c>
      <c r="F352">
        <f>IF(A352="","",SUMIFS(Videos!$F:$F,Videos!$E:$E,A352))</f>
        <v/>
      </c>
      <c r="G352" s="4">
        <f>IF(OR(F352="",F352=0),"",E352/F352*1000)</f>
        <v/>
      </c>
    </row>
    <row r="353">
      <c r="A353" s="9" t="n"/>
      <c r="B353" s="8" t="n"/>
      <c r="C353" s="8" t="n"/>
      <c r="D353">
        <f>IF(B353="","",IFERROR(VLOOKUP(B353,Baseline!$A:$B,2,FALSE),0))</f>
        <v/>
      </c>
      <c r="E353">
        <f>IF(B353="","",MAX(0,N(C353)-N(D353)))</f>
        <v/>
      </c>
      <c r="F353">
        <f>IF(A353="","",SUMIFS(Videos!$F:$F,Videos!$E:$E,A353))</f>
        <v/>
      </c>
      <c r="G353" s="4">
        <f>IF(OR(F353="",F353=0),"",E353/F353*1000)</f>
        <v/>
      </c>
    </row>
    <row r="354">
      <c r="A354" s="9" t="n"/>
      <c r="B354" s="8" t="n"/>
      <c r="C354" s="8" t="n"/>
      <c r="D354">
        <f>IF(B354="","",IFERROR(VLOOKUP(B354,Baseline!$A:$B,2,FALSE),0))</f>
        <v/>
      </c>
      <c r="E354">
        <f>IF(B354="","",MAX(0,N(C354)-N(D354)))</f>
        <v/>
      </c>
      <c r="F354">
        <f>IF(A354="","",SUMIFS(Videos!$F:$F,Videos!$E:$E,A354))</f>
        <v/>
      </c>
      <c r="G354" s="4">
        <f>IF(OR(F354="",F354=0),"",E354/F354*1000)</f>
        <v/>
      </c>
    </row>
    <row r="355">
      <c r="A355" s="9" t="n"/>
      <c r="B355" s="8" t="n"/>
      <c r="C355" s="8" t="n"/>
      <c r="D355">
        <f>IF(B355="","",IFERROR(VLOOKUP(B355,Baseline!$A:$B,2,FALSE),0))</f>
        <v/>
      </c>
      <c r="E355">
        <f>IF(B355="","",MAX(0,N(C355)-N(D355)))</f>
        <v/>
      </c>
      <c r="F355">
        <f>IF(A355="","",SUMIFS(Videos!$F:$F,Videos!$E:$E,A355))</f>
        <v/>
      </c>
      <c r="G355" s="4">
        <f>IF(OR(F355="",F355=0),"",E355/F355*1000)</f>
        <v/>
      </c>
    </row>
    <row r="356">
      <c r="A356" s="9" t="n"/>
      <c r="B356" s="8" t="n"/>
      <c r="C356" s="8" t="n"/>
      <c r="D356">
        <f>IF(B356="","",IFERROR(VLOOKUP(B356,Baseline!$A:$B,2,FALSE),0))</f>
        <v/>
      </c>
      <c r="E356">
        <f>IF(B356="","",MAX(0,N(C356)-N(D356)))</f>
        <v/>
      </c>
      <c r="F356">
        <f>IF(A356="","",SUMIFS(Videos!$F:$F,Videos!$E:$E,A356))</f>
        <v/>
      </c>
      <c r="G356" s="4">
        <f>IF(OR(F356="",F356=0),"",E356/F356*1000)</f>
        <v/>
      </c>
    </row>
    <row r="357">
      <c r="A357" s="9" t="n"/>
      <c r="B357" s="8" t="n"/>
      <c r="C357" s="8" t="n"/>
      <c r="D357">
        <f>IF(B357="","",IFERROR(VLOOKUP(B357,Baseline!$A:$B,2,FALSE),0))</f>
        <v/>
      </c>
      <c r="E357">
        <f>IF(B357="","",MAX(0,N(C357)-N(D357)))</f>
        <v/>
      </c>
      <c r="F357">
        <f>IF(A357="","",SUMIFS(Videos!$F:$F,Videos!$E:$E,A357))</f>
        <v/>
      </c>
      <c r="G357" s="4">
        <f>IF(OR(F357="",F357=0),"",E357/F357*1000)</f>
        <v/>
      </c>
    </row>
    <row r="358">
      <c r="A358" s="9" t="n"/>
      <c r="B358" s="8" t="n"/>
      <c r="C358" s="8" t="n"/>
      <c r="D358">
        <f>IF(B358="","",IFERROR(VLOOKUP(B358,Baseline!$A:$B,2,FALSE),0))</f>
        <v/>
      </c>
      <c r="E358">
        <f>IF(B358="","",MAX(0,N(C358)-N(D358)))</f>
        <v/>
      </c>
      <c r="F358">
        <f>IF(A358="","",SUMIFS(Videos!$F:$F,Videos!$E:$E,A358))</f>
        <v/>
      </c>
      <c r="G358" s="4">
        <f>IF(OR(F358="",F358=0),"",E358/F358*1000)</f>
        <v/>
      </c>
    </row>
    <row r="359">
      <c r="A359" s="9" t="n"/>
      <c r="B359" s="8" t="n"/>
      <c r="C359" s="8" t="n"/>
      <c r="D359">
        <f>IF(B359="","",IFERROR(VLOOKUP(B359,Baseline!$A:$B,2,FALSE),0))</f>
        <v/>
      </c>
      <c r="E359">
        <f>IF(B359="","",MAX(0,N(C359)-N(D359)))</f>
        <v/>
      </c>
      <c r="F359">
        <f>IF(A359="","",SUMIFS(Videos!$F:$F,Videos!$E:$E,A359))</f>
        <v/>
      </c>
      <c r="G359" s="4">
        <f>IF(OR(F359="",F359=0),"",E359/F359*1000)</f>
        <v/>
      </c>
    </row>
    <row r="360">
      <c r="A360" s="9" t="n"/>
      <c r="B360" s="8" t="n"/>
      <c r="C360" s="8" t="n"/>
      <c r="D360">
        <f>IF(B360="","",IFERROR(VLOOKUP(B360,Baseline!$A:$B,2,FALSE),0))</f>
        <v/>
      </c>
      <c r="E360">
        <f>IF(B360="","",MAX(0,N(C360)-N(D360)))</f>
        <v/>
      </c>
      <c r="F360">
        <f>IF(A360="","",SUMIFS(Videos!$F:$F,Videos!$E:$E,A360))</f>
        <v/>
      </c>
      <c r="G360" s="4">
        <f>IF(OR(F360="",F360=0),"",E360/F360*1000)</f>
        <v/>
      </c>
    </row>
    <row r="361">
      <c r="A361" s="9" t="n"/>
      <c r="B361" s="8" t="n"/>
      <c r="C361" s="8" t="n"/>
      <c r="D361">
        <f>IF(B361="","",IFERROR(VLOOKUP(B361,Baseline!$A:$B,2,FALSE),0))</f>
        <v/>
      </c>
      <c r="E361">
        <f>IF(B361="","",MAX(0,N(C361)-N(D361)))</f>
        <v/>
      </c>
      <c r="F361">
        <f>IF(A361="","",SUMIFS(Videos!$F:$F,Videos!$E:$E,A361))</f>
        <v/>
      </c>
      <c r="G361" s="4">
        <f>IF(OR(F361="",F361=0),"",E361/F361*1000)</f>
        <v/>
      </c>
    </row>
    <row r="362">
      <c r="A362" s="9" t="n"/>
      <c r="B362" s="8" t="n"/>
      <c r="C362" s="8" t="n"/>
      <c r="D362">
        <f>IF(B362="","",IFERROR(VLOOKUP(B362,Baseline!$A:$B,2,FALSE),0))</f>
        <v/>
      </c>
      <c r="E362">
        <f>IF(B362="","",MAX(0,N(C362)-N(D362)))</f>
        <v/>
      </c>
      <c r="F362">
        <f>IF(A362="","",SUMIFS(Videos!$F:$F,Videos!$E:$E,A362))</f>
        <v/>
      </c>
      <c r="G362" s="4">
        <f>IF(OR(F362="",F362=0),"",E362/F362*1000)</f>
        <v/>
      </c>
    </row>
    <row r="363">
      <c r="A363" s="9" t="n"/>
      <c r="B363" s="8" t="n"/>
      <c r="C363" s="8" t="n"/>
      <c r="D363">
        <f>IF(B363="","",IFERROR(VLOOKUP(B363,Baseline!$A:$B,2,FALSE),0))</f>
        <v/>
      </c>
      <c r="E363">
        <f>IF(B363="","",MAX(0,N(C363)-N(D363)))</f>
        <v/>
      </c>
      <c r="F363">
        <f>IF(A363="","",SUMIFS(Videos!$F:$F,Videos!$E:$E,A363))</f>
        <v/>
      </c>
      <c r="G363" s="4">
        <f>IF(OR(F363="",F363=0),"",E363/F363*1000)</f>
        <v/>
      </c>
    </row>
    <row r="364">
      <c r="A364" s="9" t="n"/>
      <c r="B364" s="8" t="n"/>
      <c r="C364" s="8" t="n"/>
      <c r="D364">
        <f>IF(B364="","",IFERROR(VLOOKUP(B364,Baseline!$A:$B,2,FALSE),0))</f>
        <v/>
      </c>
      <c r="E364">
        <f>IF(B364="","",MAX(0,N(C364)-N(D364)))</f>
        <v/>
      </c>
      <c r="F364">
        <f>IF(A364="","",SUMIFS(Videos!$F:$F,Videos!$E:$E,A364))</f>
        <v/>
      </c>
      <c r="G364" s="4">
        <f>IF(OR(F364="",F364=0),"",E364/F364*1000)</f>
        <v/>
      </c>
    </row>
    <row r="365">
      <c r="A365" s="9" t="n"/>
      <c r="B365" s="8" t="n"/>
      <c r="C365" s="8" t="n"/>
      <c r="D365">
        <f>IF(B365="","",IFERROR(VLOOKUP(B365,Baseline!$A:$B,2,FALSE),0))</f>
        <v/>
      </c>
      <c r="E365">
        <f>IF(B365="","",MAX(0,N(C365)-N(D365)))</f>
        <v/>
      </c>
      <c r="F365">
        <f>IF(A365="","",SUMIFS(Videos!$F:$F,Videos!$E:$E,A365))</f>
        <v/>
      </c>
      <c r="G365" s="4">
        <f>IF(OR(F365="",F365=0),"",E365/F365*1000)</f>
        <v/>
      </c>
    </row>
    <row r="366">
      <c r="A366" s="9" t="n"/>
      <c r="B366" s="8" t="n"/>
      <c r="C366" s="8" t="n"/>
      <c r="D366">
        <f>IF(B366="","",IFERROR(VLOOKUP(B366,Baseline!$A:$B,2,FALSE),0))</f>
        <v/>
      </c>
      <c r="E366">
        <f>IF(B366="","",MAX(0,N(C366)-N(D366)))</f>
        <v/>
      </c>
      <c r="F366">
        <f>IF(A366="","",SUMIFS(Videos!$F:$F,Videos!$E:$E,A366))</f>
        <v/>
      </c>
      <c r="G366" s="4">
        <f>IF(OR(F366="",F366=0),"",E366/F366*1000)</f>
        <v/>
      </c>
    </row>
    <row r="367">
      <c r="A367" s="9" t="n"/>
      <c r="B367" s="8" t="n"/>
      <c r="C367" s="8" t="n"/>
      <c r="D367">
        <f>IF(B367="","",IFERROR(VLOOKUP(B367,Baseline!$A:$B,2,FALSE),0))</f>
        <v/>
      </c>
      <c r="E367">
        <f>IF(B367="","",MAX(0,N(C367)-N(D367)))</f>
        <v/>
      </c>
      <c r="F367">
        <f>IF(A367="","",SUMIFS(Videos!$F:$F,Videos!$E:$E,A367))</f>
        <v/>
      </c>
      <c r="G367" s="4">
        <f>IF(OR(F367="",F367=0),"",E367/F367*1000)</f>
        <v/>
      </c>
    </row>
    <row r="368">
      <c r="A368" s="9" t="n"/>
      <c r="B368" s="8" t="n"/>
      <c r="C368" s="8" t="n"/>
      <c r="D368">
        <f>IF(B368="","",IFERROR(VLOOKUP(B368,Baseline!$A:$B,2,FALSE),0))</f>
        <v/>
      </c>
      <c r="E368">
        <f>IF(B368="","",MAX(0,N(C368)-N(D368)))</f>
        <v/>
      </c>
      <c r="F368">
        <f>IF(A368="","",SUMIFS(Videos!$F:$F,Videos!$E:$E,A368))</f>
        <v/>
      </c>
      <c r="G368" s="4">
        <f>IF(OR(F368="",F368=0),"",E368/F368*1000)</f>
        <v/>
      </c>
    </row>
    <row r="369">
      <c r="A369" s="9" t="n"/>
      <c r="B369" s="8" t="n"/>
      <c r="C369" s="8" t="n"/>
      <c r="D369">
        <f>IF(B369="","",IFERROR(VLOOKUP(B369,Baseline!$A:$B,2,FALSE),0))</f>
        <v/>
      </c>
      <c r="E369">
        <f>IF(B369="","",MAX(0,N(C369)-N(D369)))</f>
        <v/>
      </c>
      <c r="F369">
        <f>IF(A369="","",SUMIFS(Videos!$F:$F,Videos!$E:$E,A369))</f>
        <v/>
      </c>
      <c r="G369" s="4">
        <f>IF(OR(F369="",F369=0),"",E369/F369*1000)</f>
        <v/>
      </c>
    </row>
    <row r="370">
      <c r="A370" s="9" t="n"/>
      <c r="B370" s="8" t="n"/>
      <c r="C370" s="8" t="n"/>
      <c r="D370">
        <f>IF(B370="","",IFERROR(VLOOKUP(B370,Baseline!$A:$B,2,FALSE),0))</f>
        <v/>
      </c>
      <c r="E370">
        <f>IF(B370="","",MAX(0,N(C370)-N(D370)))</f>
        <v/>
      </c>
      <c r="F370">
        <f>IF(A370="","",SUMIFS(Videos!$F:$F,Videos!$E:$E,A370))</f>
        <v/>
      </c>
      <c r="G370" s="4">
        <f>IF(OR(F370="",F370=0),"",E370/F370*1000)</f>
        <v/>
      </c>
    </row>
    <row r="371">
      <c r="A371" s="9" t="n"/>
      <c r="B371" s="8" t="n"/>
      <c r="C371" s="8" t="n"/>
      <c r="D371">
        <f>IF(B371="","",IFERROR(VLOOKUP(B371,Baseline!$A:$B,2,FALSE),0))</f>
        <v/>
      </c>
      <c r="E371">
        <f>IF(B371="","",MAX(0,N(C371)-N(D371)))</f>
        <v/>
      </c>
      <c r="F371">
        <f>IF(A371="","",SUMIFS(Videos!$F:$F,Videos!$E:$E,A371))</f>
        <v/>
      </c>
      <c r="G371" s="4">
        <f>IF(OR(F371="",F371=0),"",E371/F371*1000)</f>
        <v/>
      </c>
    </row>
    <row r="372">
      <c r="A372" s="9" t="n"/>
      <c r="B372" s="8" t="n"/>
      <c r="C372" s="8" t="n"/>
      <c r="D372">
        <f>IF(B372="","",IFERROR(VLOOKUP(B372,Baseline!$A:$B,2,FALSE),0))</f>
        <v/>
      </c>
      <c r="E372">
        <f>IF(B372="","",MAX(0,N(C372)-N(D372)))</f>
        <v/>
      </c>
      <c r="F372">
        <f>IF(A372="","",SUMIFS(Videos!$F:$F,Videos!$E:$E,A372))</f>
        <v/>
      </c>
      <c r="G372" s="4">
        <f>IF(OR(F372="",F372=0),"",E372/F372*1000)</f>
        <v/>
      </c>
    </row>
    <row r="373">
      <c r="A373" s="9" t="n"/>
      <c r="B373" s="8" t="n"/>
      <c r="C373" s="8" t="n"/>
      <c r="D373">
        <f>IF(B373="","",IFERROR(VLOOKUP(B373,Baseline!$A:$B,2,FALSE),0))</f>
        <v/>
      </c>
      <c r="E373">
        <f>IF(B373="","",MAX(0,N(C373)-N(D373)))</f>
        <v/>
      </c>
      <c r="F373">
        <f>IF(A373="","",SUMIFS(Videos!$F:$F,Videos!$E:$E,A373))</f>
        <v/>
      </c>
      <c r="G373" s="4">
        <f>IF(OR(F373="",F373=0),"",E373/F373*1000)</f>
        <v/>
      </c>
    </row>
    <row r="374">
      <c r="A374" s="9" t="n"/>
      <c r="B374" s="8" t="n"/>
      <c r="C374" s="8" t="n"/>
      <c r="D374">
        <f>IF(B374="","",IFERROR(VLOOKUP(B374,Baseline!$A:$B,2,FALSE),0))</f>
        <v/>
      </c>
      <c r="E374">
        <f>IF(B374="","",MAX(0,N(C374)-N(D374)))</f>
        <v/>
      </c>
      <c r="F374">
        <f>IF(A374="","",SUMIFS(Videos!$F:$F,Videos!$E:$E,A374))</f>
        <v/>
      </c>
      <c r="G374" s="4">
        <f>IF(OR(F374="",F374=0),"",E374/F374*1000)</f>
        <v/>
      </c>
    </row>
    <row r="375">
      <c r="A375" s="9" t="n"/>
      <c r="B375" s="8" t="n"/>
      <c r="C375" s="8" t="n"/>
      <c r="D375">
        <f>IF(B375="","",IFERROR(VLOOKUP(B375,Baseline!$A:$B,2,FALSE),0))</f>
        <v/>
      </c>
      <c r="E375">
        <f>IF(B375="","",MAX(0,N(C375)-N(D375)))</f>
        <v/>
      </c>
      <c r="F375">
        <f>IF(A375="","",SUMIFS(Videos!$F:$F,Videos!$E:$E,A375))</f>
        <v/>
      </c>
      <c r="G375" s="4">
        <f>IF(OR(F375="",F375=0),"",E375/F375*1000)</f>
        <v/>
      </c>
    </row>
    <row r="376">
      <c r="A376" s="9" t="n"/>
      <c r="B376" s="8" t="n"/>
      <c r="C376" s="8" t="n"/>
      <c r="D376">
        <f>IF(B376="","",IFERROR(VLOOKUP(B376,Baseline!$A:$B,2,FALSE),0))</f>
        <v/>
      </c>
      <c r="E376">
        <f>IF(B376="","",MAX(0,N(C376)-N(D376)))</f>
        <v/>
      </c>
      <c r="F376">
        <f>IF(A376="","",SUMIFS(Videos!$F:$F,Videos!$E:$E,A376))</f>
        <v/>
      </c>
      <c r="G376" s="4">
        <f>IF(OR(F376="",F376=0),"",E376/F376*1000)</f>
        <v/>
      </c>
    </row>
    <row r="377">
      <c r="A377" s="9" t="n"/>
      <c r="B377" s="8" t="n"/>
      <c r="C377" s="8" t="n"/>
      <c r="D377">
        <f>IF(B377="","",IFERROR(VLOOKUP(B377,Baseline!$A:$B,2,FALSE),0))</f>
        <v/>
      </c>
      <c r="E377">
        <f>IF(B377="","",MAX(0,N(C377)-N(D377)))</f>
        <v/>
      </c>
      <c r="F377">
        <f>IF(A377="","",SUMIFS(Videos!$F:$F,Videos!$E:$E,A377))</f>
        <v/>
      </c>
      <c r="G377" s="4">
        <f>IF(OR(F377="",F377=0),"",E377/F377*1000)</f>
        <v/>
      </c>
    </row>
    <row r="378">
      <c r="A378" s="9" t="n"/>
      <c r="B378" s="8" t="n"/>
      <c r="C378" s="8" t="n"/>
      <c r="D378">
        <f>IF(B378="","",IFERROR(VLOOKUP(B378,Baseline!$A:$B,2,FALSE),0))</f>
        <v/>
      </c>
      <c r="E378">
        <f>IF(B378="","",MAX(0,N(C378)-N(D378)))</f>
        <v/>
      </c>
      <c r="F378">
        <f>IF(A378="","",SUMIFS(Videos!$F:$F,Videos!$E:$E,A378))</f>
        <v/>
      </c>
      <c r="G378" s="4">
        <f>IF(OR(F378="",F378=0),"",E378/F378*1000)</f>
        <v/>
      </c>
    </row>
    <row r="379">
      <c r="A379" s="9" t="n"/>
      <c r="B379" s="8" t="n"/>
      <c r="C379" s="8" t="n"/>
      <c r="D379">
        <f>IF(B379="","",IFERROR(VLOOKUP(B379,Baseline!$A:$B,2,FALSE),0))</f>
        <v/>
      </c>
      <c r="E379">
        <f>IF(B379="","",MAX(0,N(C379)-N(D379)))</f>
        <v/>
      </c>
      <c r="F379">
        <f>IF(A379="","",SUMIFS(Videos!$F:$F,Videos!$E:$E,A379))</f>
        <v/>
      </c>
      <c r="G379" s="4">
        <f>IF(OR(F379="",F379=0),"",E379/F379*1000)</f>
        <v/>
      </c>
    </row>
    <row r="380">
      <c r="A380" s="9" t="n"/>
      <c r="B380" s="8" t="n"/>
      <c r="C380" s="8" t="n"/>
      <c r="D380">
        <f>IF(B380="","",IFERROR(VLOOKUP(B380,Baseline!$A:$B,2,FALSE),0))</f>
        <v/>
      </c>
      <c r="E380">
        <f>IF(B380="","",MAX(0,N(C380)-N(D380)))</f>
        <v/>
      </c>
      <c r="F380">
        <f>IF(A380="","",SUMIFS(Videos!$F:$F,Videos!$E:$E,A380))</f>
        <v/>
      </c>
      <c r="G380" s="4">
        <f>IF(OR(F380="",F380=0),"",E380/F380*1000)</f>
        <v/>
      </c>
    </row>
    <row r="381">
      <c r="A381" s="9" t="n"/>
      <c r="B381" s="8" t="n"/>
      <c r="C381" s="8" t="n"/>
      <c r="D381">
        <f>IF(B381="","",IFERROR(VLOOKUP(B381,Baseline!$A:$B,2,FALSE),0))</f>
        <v/>
      </c>
      <c r="E381">
        <f>IF(B381="","",MAX(0,N(C381)-N(D381)))</f>
        <v/>
      </c>
      <c r="F381">
        <f>IF(A381="","",SUMIFS(Videos!$F:$F,Videos!$E:$E,A381))</f>
        <v/>
      </c>
      <c r="G381" s="4">
        <f>IF(OR(F381="",F381=0),"",E381/F381*1000)</f>
        <v/>
      </c>
    </row>
    <row r="382">
      <c r="A382" s="9" t="n"/>
      <c r="B382" s="8" t="n"/>
      <c r="C382" s="8" t="n"/>
      <c r="D382">
        <f>IF(B382="","",IFERROR(VLOOKUP(B382,Baseline!$A:$B,2,FALSE),0))</f>
        <v/>
      </c>
      <c r="E382">
        <f>IF(B382="","",MAX(0,N(C382)-N(D382)))</f>
        <v/>
      </c>
      <c r="F382">
        <f>IF(A382="","",SUMIFS(Videos!$F:$F,Videos!$E:$E,A382))</f>
        <v/>
      </c>
      <c r="G382" s="4">
        <f>IF(OR(F382="",F382=0),"",E382/F382*1000)</f>
        <v/>
      </c>
    </row>
    <row r="383">
      <c r="A383" s="9" t="n"/>
      <c r="B383" s="8" t="n"/>
      <c r="C383" s="8" t="n"/>
      <c r="D383">
        <f>IF(B383="","",IFERROR(VLOOKUP(B383,Baseline!$A:$B,2,FALSE),0))</f>
        <v/>
      </c>
      <c r="E383">
        <f>IF(B383="","",MAX(0,N(C383)-N(D383)))</f>
        <v/>
      </c>
      <c r="F383">
        <f>IF(A383="","",SUMIFS(Videos!$F:$F,Videos!$E:$E,A383))</f>
        <v/>
      </c>
      <c r="G383" s="4">
        <f>IF(OR(F383="",F383=0),"",E383/F383*1000)</f>
        <v/>
      </c>
    </row>
    <row r="384">
      <c r="A384" s="9" t="n"/>
      <c r="B384" s="8" t="n"/>
      <c r="C384" s="8" t="n"/>
      <c r="D384">
        <f>IF(B384="","",IFERROR(VLOOKUP(B384,Baseline!$A:$B,2,FALSE),0))</f>
        <v/>
      </c>
      <c r="E384">
        <f>IF(B384="","",MAX(0,N(C384)-N(D384)))</f>
        <v/>
      </c>
      <c r="F384">
        <f>IF(A384="","",SUMIFS(Videos!$F:$F,Videos!$E:$E,A384))</f>
        <v/>
      </c>
      <c r="G384" s="4">
        <f>IF(OR(F384="",F384=0),"",E384/F384*1000)</f>
        <v/>
      </c>
    </row>
    <row r="385">
      <c r="A385" s="9" t="n"/>
      <c r="B385" s="8" t="n"/>
      <c r="C385" s="8" t="n"/>
      <c r="D385">
        <f>IF(B385="","",IFERROR(VLOOKUP(B385,Baseline!$A:$B,2,FALSE),0))</f>
        <v/>
      </c>
      <c r="E385">
        <f>IF(B385="","",MAX(0,N(C385)-N(D385)))</f>
        <v/>
      </c>
      <c r="F385">
        <f>IF(A385="","",SUMIFS(Videos!$F:$F,Videos!$E:$E,A385))</f>
        <v/>
      </c>
      <c r="G385" s="4">
        <f>IF(OR(F385="",F385=0),"",E385/F385*1000)</f>
        <v/>
      </c>
    </row>
    <row r="386">
      <c r="A386" s="9" t="n"/>
      <c r="B386" s="8" t="n"/>
      <c r="C386" s="8" t="n"/>
      <c r="D386">
        <f>IF(B386="","",IFERROR(VLOOKUP(B386,Baseline!$A:$B,2,FALSE),0))</f>
        <v/>
      </c>
      <c r="E386">
        <f>IF(B386="","",MAX(0,N(C386)-N(D386)))</f>
        <v/>
      </c>
      <c r="F386">
        <f>IF(A386="","",SUMIFS(Videos!$F:$F,Videos!$E:$E,A386))</f>
        <v/>
      </c>
      <c r="G386" s="4">
        <f>IF(OR(F386="",F386=0),"",E386/F386*1000)</f>
        <v/>
      </c>
    </row>
    <row r="387">
      <c r="A387" s="9" t="n"/>
      <c r="B387" s="8" t="n"/>
      <c r="C387" s="8" t="n"/>
      <c r="D387">
        <f>IF(B387="","",IFERROR(VLOOKUP(B387,Baseline!$A:$B,2,FALSE),0))</f>
        <v/>
      </c>
      <c r="E387">
        <f>IF(B387="","",MAX(0,N(C387)-N(D387)))</f>
        <v/>
      </c>
      <c r="F387">
        <f>IF(A387="","",SUMIFS(Videos!$F:$F,Videos!$E:$E,A387))</f>
        <v/>
      </c>
      <c r="G387" s="4">
        <f>IF(OR(F387="",F387=0),"",E387/F387*1000)</f>
        <v/>
      </c>
    </row>
    <row r="388">
      <c r="A388" s="9" t="n"/>
      <c r="B388" s="8" t="n"/>
      <c r="C388" s="8" t="n"/>
      <c r="D388">
        <f>IF(B388="","",IFERROR(VLOOKUP(B388,Baseline!$A:$B,2,FALSE),0))</f>
        <v/>
      </c>
      <c r="E388">
        <f>IF(B388="","",MAX(0,N(C388)-N(D388)))</f>
        <v/>
      </c>
      <c r="F388">
        <f>IF(A388="","",SUMIFS(Videos!$F:$F,Videos!$E:$E,A388))</f>
        <v/>
      </c>
      <c r="G388" s="4">
        <f>IF(OR(F388="",F388=0),"",E388/F388*1000)</f>
        <v/>
      </c>
    </row>
    <row r="389">
      <c r="A389" s="9" t="n"/>
      <c r="B389" s="8" t="n"/>
      <c r="C389" s="8" t="n"/>
      <c r="D389">
        <f>IF(B389="","",IFERROR(VLOOKUP(B389,Baseline!$A:$B,2,FALSE),0))</f>
        <v/>
      </c>
      <c r="E389">
        <f>IF(B389="","",MAX(0,N(C389)-N(D389)))</f>
        <v/>
      </c>
      <c r="F389">
        <f>IF(A389="","",SUMIFS(Videos!$F:$F,Videos!$E:$E,A389))</f>
        <v/>
      </c>
      <c r="G389" s="4">
        <f>IF(OR(F389="",F389=0),"",E389/F389*1000)</f>
        <v/>
      </c>
    </row>
    <row r="390">
      <c r="A390" s="9" t="n"/>
      <c r="B390" s="8" t="n"/>
      <c r="C390" s="8" t="n"/>
      <c r="D390">
        <f>IF(B390="","",IFERROR(VLOOKUP(B390,Baseline!$A:$B,2,FALSE),0))</f>
        <v/>
      </c>
      <c r="E390">
        <f>IF(B390="","",MAX(0,N(C390)-N(D390)))</f>
        <v/>
      </c>
      <c r="F390">
        <f>IF(A390="","",SUMIFS(Videos!$F:$F,Videos!$E:$E,A390))</f>
        <v/>
      </c>
      <c r="G390" s="4">
        <f>IF(OR(F390="",F390=0),"",E390/F390*1000)</f>
        <v/>
      </c>
    </row>
    <row r="391">
      <c r="A391" s="9" t="n"/>
      <c r="B391" s="8" t="n"/>
      <c r="C391" s="8" t="n"/>
      <c r="D391">
        <f>IF(B391="","",IFERROR(VLOOKUP(B391,Baseline!$A:$B,2,FALSE),0))</f>
        <v/>
      </c>
      <c r="E391">
        <f>IF(B391="","",MAX(0,N(C391)-N(D391)))</f>
        <v/>
      </c>
      <c r="F391">
        <f>IF(A391="","",SUMIFS(Videos!$F:$F,Videos!$E:$E,A391))</f>
        <v/>
      </c>
      <c r="G391" s="4">
        <f>IF(OR(F391="",F391=0),"",E391/F391*1000)</f>
        <v/>
      </c>
    </row>
    <row r="392">
      <c r="A392" s="9" t="n"/>
      <c r="B392" s="8" t="n"/>
      <c r="C392" s="8" t="n"/>
      <c r="D392">
        <f>IF(B392="","",IFERROR(VLOOKUP(B392,Baseline!$A:$B,2,FALSE),0))</f>
        <v/>
      </c>
      <c r="E392">
        <f>IF(B392="","",MAX(0,N(C392)-N(D392)))</f>
        <v/>
      </c>
      <c r="F392">
        <f>IF(A392="","",SUMIFS(Videos!$F:$F,Videos!$E:$E,A392))</f>
        <v/>
      </c>
      <c r="G392" s="4">
        <f>IF(OR(F392="",F392=0),"",E392/F392*1000)</f>
        <v/>
      </c>
    </row>
    <row r="393">
      <c r="A393" s="9" t="n"/>
      <c r="B393" s="8" t="n"/>
      <c r="C393" s="8" t="n"/>
      <c r="D393">
        <f>IF(B393="","",IFERROR(VLOOKUP(B393,Baseline!$A:$B,2,FALSE),0))</f>
        <v/>
      </c>
      <c r="E393">
        <f>IF(B393="","",MAX(0,N(C393)-N(D393)))</f>
        <v/>
      </c>
      <c r="F393">
        <f>IF(A393="","",SUMIFS(Videos!$F:$F,Videos!$E:$E,A393))</f>
        <v/>
      </c>
      <c r="G393" s="4">
        <f>IF(OR(F393="",F393=0),"",E393/F393*1000)</f>
        <v/>
      </c>
    </row>
    <row r="394">
      <c r="A394" s="9" t="n"/>
      <c r="B394" s="8" t="n"/>
      <c r="C394" s="8" t="n"/>
      <c r="D394">
        <f>IF(B394="","",IFERROR(VLOOKUP(B394,Baseline!$A:$B,2,FALSE),0))</f>
        <v/>
      </c>
      <c r="E394">
        <f>IF(B394="","",MAX(0,N(C394)-N(D394)))</f>
        <v/>
      </c>
      <c r="F394">
        <f>IF(A394="","",SUMIFS(Videos!$F:$F,Videos!$E:$E,A394))</f>
        <v/>
      </c>
      <c r="G394" s="4">
        <f>IF(OR(F394="",F394=0),"",E394/F394*1000)</f>
        <v/>
      </c>
    </row>
    <row r="395">
      <c r="A395" s="9" t="n"/>
      <c r="B395" s="8" t="n"/>
      <c r="C395" s="8" t="n"/>
      <c r="D395">
        <f>IF(B395="","",IFERROR(VLOOKUP(B395,Baseline!$A:$B,2,FALSE),0))</f>
        <v/>
      </c>
      <c r="E395">
        <f>IF(B395="","",MAX(0,N(C395)-N(D395)))</f>
        <v/>
      </c>
      <c r="F395">
        <f>IF(A395="","",SUMIFS(Videos!$F:$F,Videos!$E:$E,A395))</f>
        <v/>
      </c>
      <c r="G395" s="4">
        <f>IF(OR(F395="",F395=0),"",E395/F395*1000)</f>
        <v/>
      </c>
    </row>
    <row r="396">
      <c r="A396" s="9" t="n"/>
      <c r="B396" s="8" t="n"/>
      <c r="C396" s="8" t="n"/>
      <c r="D396">
        <f>IF(B396="","",IFERROR(VLOOKUP(B396,Baseline!$A:$B,2,FALSE),0))</f>
        <v/>
      </c>
      <c r="E396">
        <f>IF(B396="","",MAX(0,N(C396)-N(D396)))</f>
        <v/>
      </c>
      <c r="F396">
        <f>IF(A396="","",SUMIFS(Videos!$F:$F,Videos!$E:$E,A396))</f>
        <v/>
      </c>
      <c r="G396" s="4">
        <f>IF(OR(F396="",F396=0),"",E396/F396*1000)</f>
        <v/>
      </c>
    </row>
    <row r="397">
      <c r="A397" s="9" t="n"/>
      <c r="B397" s="8" t="n"/>
      <c r="C397" s="8" t="n"/>
      <c r="D397">
        <f>IF(B397="","",IFERROR(VLOOKUP(B397,Baseline!$A:$B,2,FALSE),0))</f>
        <v/>
      </c>
      <c r="E397">
        <f>IF(B397="","",MAX(0,N(C397)-N(D397)))</f>
        <v/>
      </c>
      <c r="F397">
        <f>IF(A397="","",SUMIFS(Videos!$F:$F,Videos!$E:$E,A397))</f>
        <v/>
      </c>
      <c r="G397" s="4">
        <f>IF(OR(F397="",F397=0),"",E397/F397*1000)</f>
        <v/>
      </c>
    </row>
    <row r="398">
      <c r="A398" s="9" t="n"/>
      <c r="B398" s="8" t="n"/>
      <c r="C398" s="8" t="n"/>
      <c r="D398">
        <f>IF(B398="","",IFERROR(VLOOKUP(B398,Baseline!$A:$B,2,FALSE),0))</f>
        <v/>
      </c>
      <c r="E398">
        <f>IF(B398="","",MAX(0,N(C398)-N(D398)))</f>
        <v/>
      </c>
      <c r="F398">
        <f>IF(A398="","",SUMIFS(Videos!$F:$F,Videos!$E:$E,A398))</f>
        <v/>
      </c>
      <c r="G398" s="4">
        <f>IF(OR(F398="",F398=0),"",E398/F398*1000)</f>
        <v/>
      </c>
    </row>
    <row r="399">
      <c r="A399" s="9" t="n"/>
      <c r="B399" s="8" t="n"/>
      <c r="C399" s="8" t="n"/>
      <c r="D399">
        <f>IF(B399="","",IFERROR(VLOOKUP(B399,Baseline!$A:$B,2,FALSE),0))</f>
        <v/>
      </c>
      <c r="E399">
        <f>IF(B399="","",MAX(0,N(C399)-N(D399)))</f>
        <v/>
      </c>
      <c r="F399">
        <f>IF(A399="","",SUMIFS(Videos!$F:$F,Videos!$E:$E,A399))</f>
        <v/>
      </c>
      <c r="G399" s="4">
        <f>IF(OR(F399="",F399=0),"",E399/F399*1000)</f>
        <v/>
      </c>
    </row>
    <row r="400">
      <c r="A400" s="9" t="n"/>
      <c r="B400" s="8" t="n"/>
      <c r="C400" s="8" t="n"/>
      <c r="D400">
        <f>IF(B400="","",IFERROR(VLOOKUP(B400,Baseline!$A:$B,2,FALSE),0))</f>
        <v/>
      </c>
      <c r="E400">
        <f>IF(B400="","",MAX(0,N(C400)-N(D400)))</f>
        <v/>
      </c>
      <c r="F400">
        <f>IF(A400="","",SUMIFS(Videos!$F:$F,Videos!$E:$E,A400))</f>
        <v/>
      </c>
      <c r="G400" s="4">
        <f>IF(OR(F400="",F400=0),"",E400/F400*1000)</f>
        <v/>
      </c>
    </row>
    <row r="401">
      <c r="A401" s="9" t="n"/>
      <c r="B401" s="8" t="n"/>
      <c r="C401" s="8" t="n"/>
      <c r="D401">
        <f>IF(B401="","",IFERROR(VLOOKUP(B401,Baseline!$A:$B,2,FALSE),0))</f>
        <v/>
      </c>
      <c r="E401">
        <f>IF(B401="","",MAX(0,N(C401)-N(D401)))</f>
        <v/>
      </c>
      <c r="F401">
        <f>IF(A401="","",SUMIFS(Videos!$F:$F,Videos!$E:$E,A401))</f>
        <v/>
      </c>
      <c r="G401" s="4">
        <f>IF(OR(F401="",F401=0),"",E401/F401*1000)</f>
        <v/>
      </c>
    </row>
  </sheetData>
  <dataValidations count="1">
    <dataValidation sqref="B2:B401" showDropDown="0" showInputMessage="0" showErrorMessage="0" allowBlank="1" type="list">
      <formula1>=Baseline!$A$2:$A$60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2026-10-24T05:50:32Z</dcterms:created>
  <dcterms:modified xmlns:dcterms="http://purl.org/dc/terms/" xmlns:xsi="http://www.w3.org/2001/XMLSchema-instance" xsi:type="dcterms:W3CDTF">2026-10-24T05:50:32Z</dcterms:modified>
</cp:coreProperties>
</file>